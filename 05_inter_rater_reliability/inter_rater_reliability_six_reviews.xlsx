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By review" sheetId="3" state="visible" r:id="rId5"/>
    <sheet name="Pairs" sheetId="4" state="visible" r:id="rId6"/>
    <sheet name="Excluded" sheetId="5" state="visible" r:id="rId7"/>
  </sheets>
  <definedNames>
    <definedName function="false" hidden="true" localSheetId="3" name="_xlnm._FilterDatabase" vbProcedure="false">Pairs!$A$1:$M$787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<sst xmlns="http://schemas.openxmlformats.org/spreadsheetml/2006/main" count="5615" uniqueCount="376">
  <si>
    <t xml:space="preserve">Inter-rater reliability: six-review subsample (RQ1–RQ7)</t>
  </si>
  <si>
    <t xml:space="preserve">Manuscript EAI-D-26-00659 — supplementary material</t>
  </si>
  <si>
    <t xml:space="preserve">What this file contains</t>
  </si>
  <si>
    <t xml:space="preserve">Every numeric score (0–3) recorded in the authors’ audit tables for the six subsample reviews, paired with the score assigned by a second co-author. The Summary sheet computes the agreement statistics from the Pairs sheet with formulas.</t>
  </si>
  <si>
    <t xml:space="preserve">How the second scores were obtained</t>
  </si>
  <si>
    <t xml:space="preserve">A second co-author coded the six reviews independently from their full texts, using the same decision rules and the RQ-specific codebooks, without access to the existing scores. The two sets of scores were then compared cell by cell; the Pairs sheet records both.</t>
  </si>
  <si>
    <t xml:space="preserve">Counting rule (fixed before computing)</t>
  </si>
  <si>
    <t xml:space="preserve">1. Every numeric score in the audit tables for the six reviews counts as one compared pair.</t>
  </si>
  <si>
    <t xml:space="preserve">2. Where the comparison recorded no disagreement for a cell, the two scores are identical.</t>
  </si>
  <si>
    <t xml:space="preserve">3. Scores that appear twice in the audit trail are counted once: the RQ3 survey-scope table repeats the RQ3 audit scope scores, and the RQ2 audit table repeats the five formulation scores.</t>
  </si>
  <si>
    <t xml:space="preserve">4. Items outside the coding frame (e.g. a “Deep RL” unit proposed by the co-author) and categorical codes that are not 0–3 scores are not counted; they are listed on the Excluded sheet.</t>
  </si>
  <si>
    <t xml:space="preserve">5. Every disagreement recorded in the comparison was checked against the audit table; all 215 matched the authors’ recorded score.</t>
  </si>
  <si>
    <t xml:space="preserve">Subsample</t>
  </si>
  <si>
    <t xml:space="preserve">Six of the twenty-two reviews, drawn by stratified random sampling with publication cohort as the stratum (2019–2021, 2022–2023, 2024–2025, 2026), at least one review per cohort.</t>
  </si>
  <si>
    <t xml:space="preserve">Resolution</t>
  </si>
  <si>
    <t xml:space="preserve">All statistics are computed from the scores before any discussion of disagreements.</t>
  </si>
  <si>
    <t xml:space="preserve">Sources</t>
  </si>
  <si>
    <t xml:space="preserve">Authors’ scores: audit-trail tables MRQ1–MRQ7 (*_new_score.tex). Second coder’s scores: independent coding of the six reviews, compared with the authors’ scores.</t>
  </si>
  <si>
    <t xml:space="preserve">Agreement statistics (pre-discussion)</t>
  </si>
  <si>
    <t xml:space="preserve">Compared pairs</t>
  </si>
  <si>
    <t xml:space="preserve">Exact agreements</t>
  </si>
  <si>
    <t xml:space="preserve">Exact agreement (%)</t>
  </si>
  <si>
    <t xml:space="preserve">Agreements within one level</t>
  </si>
  <si>
    <t xml:space="preserve">Within-one agreement (%)</t>
  </si>
  <si>
    <t xml:space="preserve">Disagreements</t>
  </si>
  <si>
    <t xml:space="preserve">  of which differ by 1 level</t>
  </si>
  <si>
    <t xml:space="preserve">  of which differ by 2 levels</t>
  </si>
  <si>
    <t xml:space="preserve">  of which differ by 3 levels</t>
  </si>
  <si>
    <t xml:space="preserve">Co-author scored higher</t>
  </si>
  <si>
    <t xml:space="preserve">Co-author scored higher (% of disagreements)</t>
  </si>
  <si>
    <t xml:space="preserve">Adjacent disagreements at the 2/3 boundary</t>
  </si>
  <si>
    <t xml:space="preserve">2/3 boundary (% of one-level disagreements)</t>
  </si>
  <si>
    <t xml:space="preserve">Linear-weighted Cohen’s κ</t>
  </si>
  <si>
    <t xml:space="preserve">Unweighted Cohen’s κ</t>
  </si>
  <si>
    <t xml:space="preserve">Linear weights |i−j|/3 (authors’ score in rows, co-author’s in columns)</t>
  </si>
  <si>
    <t xml:space="preserve">Observed counts</t>
  </si>
  <si>
    <t xml:space="preserve">Row total</t>
  </si>
  <si>
    <t xml:space="preserve">Column total</t>
  </si>
  <si>
    <t xml:space="preserve">Expected counts under independence</t>
  </si>
  <si>
    <t xml:space="preserve">All values are computed by formula from the Pairs sheet.</t>
  </si>
  <si>
    <t xml:space="preserve">Review</t>
  </si>
  <si>
    <t xml:space="preserve">Cohort</t>
  </si>
  <si>
    <t xml:space="preserve">Pairs</t>
  </si>
  <si>
    <t xml:space="preserve">Exact (%)</t>
  </si>
  <si>
    <t xml:space="preserve">Within one level</t>
  </si>
  <si>
    <t xml:space="preserve">Within one (%)</t>
  </si>
  <si>
    <t xml:space="preserve">Han et al. (2021)</t>
  </si>
  <si>
    <t xml:space="preserve">2019–2021</t>
  </si>
  <si>
    <t xml:space="preserve">Shaqour and Hagishima (2022)</t>
  </si>
  <si>
    <t xml:space="preserve">2022–2023</t>
  </si>
  <si>
    <t xml:space="preserve">Weinberg et al. (2023)</t>
  </si>
  <si>
    <t xml:space="preserve">Pinthurat et al. (2024)</t>
  </si>
  <si>
    <t xml:space="preserve">2024–2025</t>
  </si>
  <si>
    <t xml:space="preserve">Kannari et al. (2025)</t>
  </si>
  <si>
    <t xml:space="preserve">Mohsenpour and Xing (2026)</t>
  </si>
  <si>
    <t xml:space="preserve">2026</t>
  </si>
  <si>
    <t xml:space="preserve">Total</t>
  </si>
  <si>
    <t xml:space="preserve">RQ</t>
  </si>
  <si>
    <t xml:space="preserve">Table</t>
  </si>
  <si>
    <t xml:space="preserve">Dimension</t>
  </si>
  <si>
    <t xml:space="preserve">Authors’ score</t>
  </si>
  <si>
    <t xml:space="preserve">Co-author’s score</t>
  </si>
  <si>
    <t xml:space="preserve">Difference (co-author − authors)</t>
  </si>
  <si>
    <t xml:space="preserve">Absolute difference</t>
  </si>
  <si>
    <t xml:space="preserve">Exact agreement (1/0)</t>
  </si>
  <si>
    <t xml:space="preserve">Within one level (1/0)</t>
  </si>
  <si>
    <t xml:space="preserve">Disagreement</t>
  </si>
  <si>
    <t xml:space="preserve">Audit table label</t>
  </si>
  <si>
    <t xml:space="preserve">RQ1</t>
  </si>
  <si>
    <t xml:space="preserve">audit</t>
  </si>
  <si>
    <t xml:space="preserve">Method-family characterization</t>
  </si>
  <si>
    <t xml:space="preserve">No</t>
  </si>
  <si>
    <t xml:space="preserve">tab:mrq1_audit_han_2021_recoded</t>
  </si>
  <si>
    <t xml:space="preserve">Method-family recommendation</t>
  </si>
  <si>
    <t xml:space="preserve">characterization</t>
  </si>
  <si>
    <t xml:space="preserve">Actor–critic</t>
  </si>
  <si>
    <t xml:space="preserve">Yes</t>
  </si>
  <si>
    <t xml:space="preserve">tab:mrq1_characterization_han_2021_recoded</t>
  </si>
  <si>
    <t xml:space="preserve">Model-based / hybrid</t>
  </si>
  <si>
    <t xml:space="preserve">Multi-agent / distributed</t>
  </si>
  <si>
    <t xml:space="preserve">Policy-gradient / policy-based</t>
  </si>
  <si>
    <t xml:space="preserve">Value-based</t>
  </si>
  <si>
    <t xml:space="preserve">recommendation</t>
  </si>
  <si>
    <t xml:space="preserve">tab:mrq1_recommendation_han_2021_recoded</t>
  </si>
  <si>
    <t xml:space="preserve">RQ2</t>
  </si>
  <si>
    <t xml:space="preserve">Comparability problems</t>
  </si>
  <si>
    <t xml:space="preserve">tab:mrq2_audit_han2021_recoded</t>
  </si>
  <si>
    <t xml:space="preserve">barriers</t>
  </si>
  <si>
    <t xml:space="preserve">Action</t>
  </si>
  <si>
    <t xml:space="preserve">tab:mrq2_barriers_han2021_recoded</t>
  </si>
  <si>
    <t xml:space="preserve">Baseline</t>
  </si>
  <si>
    <t xml:space="preserve">Constraint</t>
  </si>
  <si>
    <t xml:space="preserve">Objective/metric</t>
  </si>
  <si>
    <t xml:space="preserve">Reward</t>
  </si>
  <si>
    <t xml:space="preserve">Simulator/testbed</t>
  </si>
  <si>
    <t xml:space="preserve">State</t>
  </si>
  <si>
    <t xml:space="preserve">formulation</t>
  </si>
  <si>
    <t xml:space="preserve">tab:mrq2_formulation_han2021_recoded</t>
  </si>
  <si>
    <t xml:space="preserve">Constraints</t>
  </si>
  <si>
    <t xml:space="preserve">Objectives</t>
  </si>
  <si>
    <t xml:space="preserve">RQ3</t>
  </si>
  <si>
    <t xml:space="preserve">Broad scope</t>
  </si>
  <si>
    <t xml:space="preserve">tab:mrq3_audit_han2021_recoded</t>
  </si>
  <si>
    <t xml:space="preserve">Deployment scope</t>
  </si>
  <si>
    <t xml:space="preserve">HVAC scope</t>
  </si>
  <si>
    <t xml:space="preserve">Multi-subsystem scope</t>
  </si>
  <si>
    <t xml:space="preserve">Occupant scope</t>
  </si>
  <si>
    <t xml:space="preserve">coverage</t>
  </si>
  <si>
    <t xml:space="preserve">DHW/water</t>
  </si>
  <si>
    <t xml:space="preserve">tab:mrq3_coverage_han2021_recoded</t>
  </si>
  <si>
    <t xml:space="preserve">HVAC</t>
  </si>
  <si>
    <t xml:space="preserve">Lighting/daylighting</t>
  </si>
  <si>
    <t xml:space="preserve">PV/renewables</t>
  </si>
  <si>
    <t xml:space="preserve">Windows</t>
  </si>
  <si>
    <t xml:space="preserve">gaps</t>
  </si>
  <si>
    <t xml:space="preserve">tab:mrq3_gaps_han2021_recoded</t>
  </si>
  <si>
    <t xml:space="preserve">RQ4</t>
  </si>
  <si>
    <t xml:space="preserve">Gap-signal visibility</t>
  </si>
  <si>
    <t xml:space="preserve">tab:mrq4_audit_han2021_recoded</t>
  </si>
  <si>
    <t xml:space="preserve">Metric visibility</t>
  </si>
  <si>
    <t xml:space="preserve">Metric-imbalance visibility</t>
  </si>
  <si>
    <t xml:space="preserve">Occupant-centered scope</t>
  </si>
  <si>
    <t xml:space="preserve">Occupant-framing visibility</t>
  </si>
  <si>
    <t xml:space="preserve">Behavioral realism / non-stationarity</t>
  </si>
  <si>
    <t xml:space="preserve">tab:mrq4_gaps_han2021_recoded</t>
  </si>
  <si>
    <t xml:space="preserve">Feedback-rich human interaction</t>
  </si>
  <si>
    <t xml:space="preserve">Health / IEQ beyond thermal comfort</t>
  </si>
  <si>
    <t xml:space="preserve">Personalization / individual differences</t>
  </si>
  <si>
    <t xml:space="preserve">Real-world human-centric validation</t>
  </si>
  <si>
    <t xml:space="preserve">metrics</t>
  </si>
  <si>
    <t xml:space="preserve">Behavioral realism / occupant interaction</t>
  </si>
  <si>
    <t xml:space="preserve">tab:mrq4_metrics_han2021_recoded</t>
  </si>
  <si>
    <t xml:space="preserve">Cost / economic objective</t>
  </si>
  <si>
    <t xml:space="preserve">Demand response / grid objective</t>
  </si>
  <si>
    <t xml:space="preserve">Energy / efficiency</t>
  </si>
  <si>
    <t xml:space="preserve">IAQ / IEQ / health</t>
  </si>
  <si>
    <t xml:space="preserve">Preference / satisfaction feedback</t>
  </si>
  <si>
    <t xml:space="preserve">Thermal comfort</t>
  </si>
  <si>
    <t xml:space="preserve">occupant</t>
  </si>
  <si>
    <t xml:space="preserve">Health / IEQ / wellbeing framing</t>
  </si>
  <si>
    <t xml:space="preserve">tab:mrq4_occupant_framing_han2021_recoded</t>
  </si>
  <si>
    <t xml:space="preserve">Occupant as comfort constraint</t>
  </si>
  <si>
    <t xml:space="preserve">Occupant as disturbance / uncertainty</t>
  </si>
  <si>
    <t xml:space="preserve">Occupant as explicit behavioral model</t>
  </si>
  <si>
    <t xml:space="preserve">Occupant as feedback / preference source</t>
  </si>
  <si>
    <t xml:space="preserve">RQ5</t>
  </si>
  <si>
    <t xml:space="preserve">Deployment-readiness treatment</t>
  </si>
  <si>
    <t xml:space="preserve">tab:mrq5_audit_han_2021_recoded</t>
  </si>
  <si>
    <t xml:space="preserve">Simulation-to-real discussion</t>
  </si>
  <si>
    <t xml:space="preserve">Validation-maturity treatment</t>
  </si>
  <si>
    <t xml:space="preserve">Lack of pilots / field tests</t>
  </si>
  <si>
    <t xml:space="preserve">tab:mrq5_gaps_han_2021_recoded</t>
  </si>
  <si>
    <t xml:space="preserve">Limited deployment protocol detail</t>
  </si>
  <si>
    <t xml:space="preserve">Limited long-term real-world evidence</t>
  </si>
  <si>
    <t xml:space="preserve">Overreliance on simulation</t>
  </si>
  <si>
    <t xml:space="preserve">Weak sim-to-real methodology</t>
  </si>
  <si>
    <t xml:space="preserve">modality</t>
  </si>
  <si>
    <t xml:space="preserve">Cross-site / transfer / generalization evidence</t>
  </si>
  <si>
    <t xml:space="preserve">tab:mrq5_modality_han_2021_recoded</t>
  </si>
  <si>
    <t xml:space="preserve">Emulation / testbed</t>
  </si>
  <si>
    <t xml:space="preserve">Pilot / demonstration</t>
  </si>
  <si>
    <t xml:space="preserve">Real building / field deployment</t>
  </si>
  <si>
    <t xml:space="preserve">Simulation</t>
  </si>
  <si>
    <t xml:space="preserve">rigor</t>
  </si>
  <si>
    <t xml:space="preserve">Deployment-readiness discussion</t>
  </si>
  <si>
    <t xml:space="preserve">tab:mrq5_rigor_han_2021_recoded</t>
  </si>
  <si>
    <t xml:space="preserve">Safety / safeguards for deployment</t>
  </si>
  <si>
    <t xml:space="preserve">Simulation-to-real gap rigor</t>
  </si>
  <si>
    <t xml:space="preserve">Strength of real-world evidence</t>
  </si>
  <si>
    <t xml:space="preserve">Validation taxonomy clarity</t>
  </si>
  <si>
    <t xml:space="preserve">RQ6</t>
  </si>
  <si>
    <t xml:space="preserve">Blind-spot visibility</t>
  </si>
  <si>
    <t xml:space="preserve">tab:mrq6_audit_han_2021_recoded</t>
  </si>
  <si>
    <t xml:space="preserve">Infrastructure auditing</t>
  </si>
  <si>
    <t xml:space="preserve">Reproducibility auditing</t>
  </si>
  <si>
    <t xml:space="preserve">Benchmark tasks</t>
  </si>
  <si>
    <t xml:space="preserve">tab:mrq6_coverage_han_2021_recoded</t>
  </si>
  <si>
    <t xml:space="preserve">Code / artifact availability</t>
  </si>
  <si>
    <t xml:space="preserve">Datasets / data sources</t>
  </si>
  <si>
    <t xml:space="preserve">External signals</t>
  </si>
  <si>
    <t xml:space="preserve">Reporting / experimental detail</t>
  </si>
  <si>
    <t xml:space="preserve">Simulators / environments</t>
  </si>
  <si>
    <t xml:space="preserve">critical</t>
  </si>
  <si>
    <t xml:space="preserve">Benchmark comparability critique</t>
  </si>
  <si>
    <t xml:space="preserve">tab:mrq6_critical_han_2021_recoded</t>
  </si>
  <si>
    <t xml:space="preserve">Data realism / availability critique</t>
  </si>
  <si>
    <t xml:space="preserve">Open-code / reproducibility critique</t>
  </si>
  <si>
    <t xml:space="preserve">Simulator fragmentation critique</t>
  </si>
  <si>
    <t xml:space="preserve">Standardization / shared-infrastructure need</t>
  </si>
  <si>
    <t xml:space="preserve">Closed code / unavailable artifacts</t>
  </si>
  <si>
    <t xml:space="preserve">tab:mrq6_gaps_han_2021_recoded</t>
  </si>
  <si>
    <t xml:space="preserve">Inconsistent external signals / assumptions</t>
  </si>
  <si>
    <t xml:space="preserve">Lack of shared benchmarks</t>
  </si>
  <si>
    <t xml:space="preserve">Simulator / testbed fragmentation</t>
  </si>
  <si>
    <t xml:space="preserve">Weak dataset realism / documentation</t>
  </si>
  <si>
    <t xml:space="preserve">RQ7</t>
  </si>
  <si>
    <t xml:space="preserve">framing</t>
  </si>
  <si>
    <t xml:space="preserve">Shift signal: performance → safety / trust / governance</t>
  </si>
  <si>
    <t xml:space="preserve">tab:mrq7_framing_han_2021_recoded</t>
  </si>
  <si>
    <t xml:space="preserve">Shift signal: pure optimization → human-centered / stakeholder-centered framing</t>
  </si>
  <si>
    <t xml:space="preserve">Shift signal: simulation → real-world deployment</t>
  </si>
  <si>
    <t xml:space="preserve">Shift signal: single-home → community / larger-scale coordination</t>
  </si>
  <si>
    <t xml:space="preserve">heatmapvals</t>
  </si>
  <si>
    <t xml:space="preserve">C1</t>
  </si>
  <si>
    <t xml:space="preserve">tab:mrq7_heatmapvals_han_2021_recoded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</si>
  <si>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</si>
  <si>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</si>
  <si>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</si>
  <si>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</si>
  <si>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</si>
  <si>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</si>
  <si>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</si>
  <si>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</si>
  <si>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F1</t>
  </si>
  <si>
    <t xml:space="preserve">F10</t>
  </si>
  <si>
    <t xml:space="preserve">F11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</si>
  <si>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</si>
  <si>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</si>
  <si>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</si>
  <si>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</si>
  <si>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</si>
  <si>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</si>
  <si>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</si>
  <si>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</si>
  <si>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tab:mrq1_audit_shaqour_hagishima_2022_recoded</t>
  </si>
  <si>
    <t xml:space="preserve">tab:mrq1_characterization_shaqour_hagishima_2022_recoded</t>
  </si>
  <si>
    <t xml:space="preserve">tab:mrq1_recommendation_shaqour_hagishima_2022_recoded</t>
  </si>
  <si>
    <t xml:space="preserve">tab:mrq2_audit_shaqour2022_recoded</t>
  </si>
  <si>
    <t xml:space="preserve">tab:mrq2_barriers_shaqour2022_recoded</t>
  </si>
  <si>
    <t xml:space="preserve">tab:mrq2_formulation_shaqour2022_recoded</t>
  </si>
  <si>
    <t xml:space="preserve">tab:mrq3_audit_shaqour_hagishima2022_recoded</t>
  </si>
  <si>
    <t xml:space="preserve">Building-type scope</t>
  </si>
  <si>
    <t xml:space="preserve">Appliances</t>
  </si>
  <si>
    <t xml:space="preserve">tab:mrq3_coverage_shaqour_hagishima2022_recoded</t>
  </si>
  <si>
    <t xml:space="preserve">Battery/ESS</t>
  </si>
  <si>
    <t xml:space="preserve">EV/V2H/V2G</t>
  </si>
  <si>
    <t xml:space="preserve">Grid/DR/microgrid</t>
  </si>
  <si>
    <t xml:space="preserve">IAQ/IEQ</t>
  </si>
  <si>
    <t xml:space="preserve">Multi-zone/district/cluster</t>
  </si>
  <si>
    <t xml:space="preserve">Other niche/Windows</t>
  </si>
  <si>
    <t xml:space="preserve">Whole-home/HEMS/BEMS</t>
  </si>
  <si>
    <t xml:space="preserve">tab:mrq3_gaps_shaqour_hagishima2022_recoded</t>
  </si>
  <si>
    <t xml:space="preserve">Broad BEMS scope</t>
  </si>
  <si>
    <t xml:space="preserve">tab:mrq4_audit_shaqour_hagishima2022_recoded</t>
  </si>
  <si>
    <t xml:space="preserve">tab:mrq4_gaps_shaqour_hagishima2022_recoded</t>
  </si>
  <si>
    <t xml:space="preserve">tab:mrq4_metrics_shaqour_hagishima2022_recoded</t>
  </si>
  <si>
    <t xml:space="preserve">tab:mrq4_occupant_framing_shaqour_hagishima2022_recoded</t>
  </si>
  <si>
    <t xml:space="preserve">tab:mrq5_audit_shaqour_hagishima_2022_recoded</t>
  </si>
  <si>
    <t xml:space="preserve">tab:mrq5_gaps_shaqour_hagishima_2022_recoded</t>
  </si>
  <si>
    <t xml:space="preserve">tab:mrq5_modality_shaqour_hagishima_2022_recoded</t>
  </si>
  <si>
    <t xml:space="preserve">tab:mrq5_rigor_shaqour_hagishima_2022_recoded</t>
  </si>
  <si>
    <t xml:space="preserve">tab:mrq6_audit_shaqour_hagishima_2022_recoded</t>
  </si>
  <si>
    <t xml:space="preserve">tab:mrq6_coverage_shaqour_hagishima_2022_recoded</t>
  </si>
  <si>
    <t xml:space="preserve">tab:mrq6_critical_shaqour_hagishima_2022_recoded</t>
  </si>
  <si>
    <t xml:space="preserve">tab:mrq6_gaps_shaqour_hagishima_2022_recoded</t>
  </si>
  <si>
    <t xml:space="preserve">tab:mrq7_framing_shaqour_hagishima_2022_recoded</t>
  </si>
  <si>
    <t xml:space="preserve">Shift signal: single-building → community / larger-scale coordination</t>
  </si>
  <si>
    <t xml:space="preserve">tab:mrq7_heatmapvals_shaqour_hagishima_2022_recoded</t>
  </si>
  <si>
    <t xml:space="preserve">tab:mrq1_audit_weinberg_2023_recoded</t>
  </si>
  <si>
    <t xml:space="preserve">tab:mrq1_characterization_weinberg_2023_recoded</t>
  </si>
  <si>
    <t xml:space="preserve">tab:mrq1_recommendation_weinberg_2023_recoded</t>
  </si>
  <si>
    <t xml:space="preserve">tab:mrq2_audit_weinberg2023_recoded</t>
  </si>
  <si>
    <t xml:space="preserve">tab:mrq2_barriers_weinberg2023_recoded</t>
  </si>
  <si>
    <t xml:space="preserve">tab:mrq2_formulation_weinberg2023_recoded</t>
  </si>
  <si>
    <t xml:space="preserve">tab:mrq3_audit_weinberg2023_recoded</t>
  </si>
  <si>
    <t xml:space="preserve">Main specialized scope</t>
  </si>
  <si>
    <t xml:space="preserve">Secondary focus scope</t>
  </si>
  <si>
    <t xml:space="preserve">Building clusters/local energy communities</t>
  </si>
  <si>
    <t xml:space="preserve">tab:mrq3_coverage_weinberg2023_recoded</t>
  </si>
  <si>
    <t xml:space="preserve">Multi-agent BES control</t>
  </si>
  <si>
    <t xml:space="preserve">Thermal storage</t>
  </si>
  <si>
    <t xml:space="preserve">Whole-building thermal BES</t>
  </si>
  <si>
    <t xml:space="preserve">tab:mrq3_gaps_weinberg2023_recoded</t>
  </si>
  <si>
    <t xml:space="preserve">Computer-science/BES scope</t>
  </si>
  <si>
    <t xml:space="preserve">tab:mrq4_audit_weinberg2023_recoded</t>
  </si>
  <si>
    <t xml:space="preserve">tab:mrq4_gaps_weinberg2023_recoded</t>
  </si>
  <si>
    <t xml:space="preserve">tab:mrq4_metrics_weinberg2023_recoded</t>
  </si>
  <si>
    <t xml:space="preserve">tab:mrq4_occupant_framing_weinberg2023_recoded</t>
  </si>
  <si>
    <t xml:space="preserve">tab:mrq5_audit_weinberg_2023_recoded</t>
  </si>
  <si>
    <t xml:space="preserve">tab:mrq5_gaps_weinberg_2023_recoded</t>
  </si>
  <si>
    <t xml:space="preserve">tab:mrq5_modality_weinberg_2023_recoded</t>
  </si>
  <si>
    <t xml:space="preserve">tab:mrq5_rigor_weinberg_2023_recoded</t>
  </si>
  <si>
    <t xml:space="preserve">tab:mrq6_audit_weinberg_2023_recoded</t>
  </si>
  <si>
    <t xml:space="preserve">tab:mrq6_coverage_weinberg_2023_recoded</t>
  </si>
  <si>
    <t xml:space="preserve">tab:mrq6_critical_weinberg_2023_recoded</t>
  </si>
  <si>
    <t xml:space="preserve">tab:mrq6_gaps_weinberg_2023_recoded</t>
  </si>
  <si>
    <t xml:space="preserve">tab:mrq7_framing_weinberg_2023_recoded</t>
  </si>
  <si>
    <t xml:space="preserve">tab:mrq7_heatmapvals_weinberg_2023_recoded</t>
  </si>
  <si>
    <t xml:space="preserve">tab:mrq1_audit_pinthurat_2024_recoded</t>
  </si>
  <si>
    <t xml:space="preserve">Actor–critic / modern DRL</t>
  </si>
  <si>
    <t xml:space="preserve">tab:mrq1_characterization_pinthurat_2024_recoded</t>
  </si>
  <si>
    <t xml:space="preserve">tab:mrq1_recommendation_pinthurat_2024_recoded</t>
  </si>
  <si>
    <t xml:space="preserve">tab:mrq2_audit_pinthurat2024_recoded</t>
  </si>
  <si>
    <t xml:space="preserve">tab:mrq2_barriers_pinthurat2024_recoded</t>
  </si>
  <si>
    <t xml:space="preserve">tab:mrq2_formulation_pinthurat2024_recoded</t>
  </si>
  <si>
    <t xml:space="preserve">tab:mrq3_audit_pinthurat2024_recoded</t>
  </si>
  <si>
    <t xml:space="preserve">tab:mrq3_coverage_pinthurat2024_recoded</t>
  </si>
  <si>
    <t xml:space="preserve">P2P trading</t>
  </si>
  <si>
    <t xml:space="preserve">tab:mrq3_gaps_pinthurat2024_recoded</t>
  </si>
  <si>
    <t xml:space="preserve">tab:mrq4_audit_pinthurat2024_recoded</t>
  </si>
  <si>
    <t xml:space="preserve">SHEMS/storage scope</t>
  </si>
  <si>
    <t xml:space="preserve">tab:mrq4_gaps_pinthurat2024_recoded</t>
  </si>
  <si>
    <t xml:space="preserve">tab:mrq4_metrics_pinthurat2024_recoded</t>
  </si>
  <si>
    <t xml:space="preserve">tab:mrq4_occupant_framing_pinthurat2024_recoded</t>
  </si>
  <si>
    <t xml:space="preserve">tab:mrq5_audit_pinthurat_2024_recoded</t>
  </si>
  <si>
    <t xml:space="preserve">tab:mrq5_gaps_pinthurat_2024_recoded</t>
  </si>
  <si>
    <t xml:space="preserve">tab:mrq5_modality_pinthurat_2024_recoded</t>
  </si>
  <si>
    <t xml:space="preserve">tab:mrq5_rigor_pinthurat_2024_recoded</t>
  </si>
  <si>
    <t xml:space="preserve">tab:mrq6_audit_pinthurat_2024_recoded</t>
  </si>
  <si>
    <t xml:space="preserve">tab:mrq6_coverage_pinthurat_2024_recoded</t>
  </si>
  <si>
    <t xml:space="preserve">tab:mrq6_critical_pinthurat_2024_recoded</t>
  </si>
  <si>
    <t xml:space="preserve">tab:mrq6_gaps_pinthurat_2024_recoded</t>
  </si>
  <si>
    <t xml:space="preserve">tab:mrq7_framing_pinthurat_2024_recoded</t>
  </si>
  <si>
    <t xml:space="preserve">tab:mrq7_heatmapvals_pinthurat_2024_recoded</t>
  </si>
  <si>
    <t xml:space="preserve">tab:mrq2_audit_kannari2025_recoded</t>
  </si>
  <si>
    <t xml:space="preserve">tab:mrq2_barriers_kannari2025_recoded</t>
  </si>
  <si>
    <t xml:space="preserve">tab:mrq2_formulation_kannari2025_recoded</t>
  </si>
  <si>
    <t xml:space="preserve">tab:mrq3_audit_kannari2025_recoded</t>
  </si>
  <si>
    <t xml:space="preserve">tab:mrq3_coverage_kannari2025_recoded</t>
  </si>
  <si>
    <t xml:space="preserve">IAQ/ventilation/humidity</t>
  </si>
  <si>
    <t xml:space="preserve">Lighting/plug loads</t>
  </si>
  <si>
    <t xml:space="preserve">Whole-building/BMS holistic</t>
  </si>
  <si>
    <t xml:space="preserve">tab:mrq3_gaps_kannari2025_recoded</t>
  </si>
  <si>
    <t xml:space="preserve">tab:mrq4_audit_kannari2025_recoded</t>
  </si>
  <si>
    <t xml:space="preserve">Real-building deployment scope</t>
  </si>
  <si>
    <t xml:space="preserve">tab:mrq4_gaps_kannari2025_recoded</t>
  </si>
  <si>
    <t xml:space="preserve">tab:mrq4_metrics_kannari2025_recoded</t>
  </si>
  <si>
    <t xml:space="preserve">tab:mrq4_occupant_framing_kannari2025_recoded</t>
  </si>
  <si>
    <t xml:space="preserve">tab:mrq5_audit_kannari_2025_recoded</t>
  </si>
  <si>
    <t xml:space="preserve">tab:mrq5_gaps_kannari_2025_recoded</t>
  </si>
  <si>
    <t xml:space="preserve">tab:mrq5_modality_kannari_2025_recoded</t>
  </si>
  <si>
    <t xml:space="preserve">tab:mrq5_rigor_kannari_2025_recoded</t>
  </si>
  <si>
    <t xml:space="preserve">tab:mrq6_audit_kannari_2025_recoded</t>
  </si>
  <si>
    <t xml:space="preserve">tab:mrq6_coverage_kannari_2025_recoded</t>
  </si>
  <si>
    <t xml:space="preserve">tab:mrq6_critical_kannari_2025_recoded</t>
  </si>
  <si>
    <t xml:space="preserve">tab:mrq6_gaps_kannari_2025_recoded</t>
  </si>
  <si>
    <t xml:space="preserve">tab:mrq7_framing_kannari_2025_recoded</t>
  </si>
  <si>
    <t xml:space="preserve">tab:mrq7_heatmapvals_kannari_2025_recoded</t>
  </si>
  <si>
    <t xml:space="preserve">tab:mrq1_audit_mohsenpour_xing_2026_recoded</t>
  </si>
  <si>
    <t xml:space="preserve">tab:mrq1_characterization_mohsenpour_xing_2026_recoded</t>
  </si>
  <si>
    <t xml:space="preserve">tab:mrq1_recommendation_mohsenpour_xing_2026_recoded</t>
  </si>
  <si>
    <t xml:space="preserve">tab:mrq2_audit_mohsenpour2026_recoded</t>
  </si>
  <si>
    <t xml:space="preserve">tab:mrq2_barriers_mohsenpour2026_recoded</t>
  </si>
  <si>
    <t xml:space="preserve">tab:mrq2_formulation_mohsenpour2026_recoded</t>
  </si>
  <si>
    <t xml:space="preserve">tab:mrq3_audit_mohsenpour2026_recoded</t>
  </si>
  <si>
    <t xml:space="preserve">tab:mrq3_coverage_mohsenpour2026_recoded</t>
  </si>
  <si>
    <t xml:space="preserve">Lighting</t>
  </si>
  <si>
    <t xml:space="preserve">Whole-building/HEMS/BEMS</t>
  </si>
  <si>
    <t xml:space="preserve">tab:mrq3_gaps_mohsenpour2026_recoded</t>
  </si>
  <si>
    <t xml:space="preserve">Broad building-control scope</t>
  </si>
  <si>
    <t xml:space="preserve">tab:mrq4_audit_mohsenpour2026_recoded</t>
  </si>
  <si>
    <t xml:space="preserve">tab:mrq4_gaps_mohsenpour2026_recoded</t>
  </si>
  <si>
    <t xml:space="preserve">tab:mrq4_metrics_mohsenpour2026_recoded</t>
  </si>
  <si>
    <t xml:space="preserve">tab:mrq4_occupant_framing_mohsenpour2026_recoded</t>
  </si>
  <si>
    <t xml:space="preserve">tab:mrq5_audit_mohsenpour_xing_2026_recoded</t>
  </si>
  <si>
    <t xml:space="preserve">tab:mrq5_gaps_mohsenpour_xing_2026_recoded</t>
  </si>
  <si>
    <t xml:space="preserve">tab:mrq5_modality_mohsenpour_xing_2026_recoded</t>
  </si>
  <si>
    <t xml:space="preserve">tab:mrq5_rigor_mohsenpour_xing_2026_recoded</t>
  </si>
  <si>
    <t xml:space="preserve">tab:mrq6_audit_mohsenpour_xing_2026_recoded</t>
  </si>
  <si>
    <t xml:space="preserve">tab:mrq6_coverage_mohsenpour_xing_2026_recoded</t>
  </si>
  <si>
    <t xml:space="preserve">tab:mrq6_critical_mohsenpour_xing_2026_recoded</t>
  </si>
  <si>
    <t xml:space="preserve">tab:mrq6_gaps_mohsenpour_xing_2026_recoded</t>
  </si>
  <si>
    <t xml:space="preserve">tab:mrq7_framing_mohsenpour_xing_2026_recoded</t>
  </si>
  <si>
    <t xml:space="preserve">tab:mrq7_heatmapvals_mohsenpour_xing_2026_recoded</t>
  </si>
  <si>
    <t xml:space="preserve">Item proposed by co-author</t>
  </si>
  <si>
    <t xml:space="preserve">Reason not counted</t>
  </si>
  <si>
    <t xml:space="preserve">Deep RL direction (characterization 3, recommendation 3)</t>
  </si>
  <si>
    <t xml:space="preserve">Unit not in coding frame</t>
  </si>
  <si>
    <t xml:space="preserve">Dominant challenge framing (Technical-dominant → Technical–operational hybrid)</t>
  </si>
  <si>
    <t xml:space="preserve">Categorical code, not a 0–3 score</t>
  </si>
  <si>
    <t xml:space="preserve">Deep RL (characterization 3, recommendation 2)</t>
  </si>
  <si>
    <t xml:space="preserve">Dominant / secondary challenge family; safety/trust emphasis</t>
  </si>
  <si>
    <t xml:space="preserve">Categorical codes, not 0–3 scores</t>
  </si>
  <si>
    <t xml:space="preserve">MORL characterization (2)</t>
  </si>
  <si>
    <t xml:space="preserve">Not scored for this review in the audit table</t>
  </si>
  <si>
    <t xml:space="preserve">Deep RL (characterization 2, recommendation 2)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</si>
</sst>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%"/>
    <numFmt numFmtId="167" formatCode="0.00"/>
    <numFmt numFmtId="168" formatCode="0.000"/>
    <numFmt numFmtId="169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4EE"/>
        <bgColor rgb="FFFCE8D5"/>
      </patternFill>
    </fill>
    <fill>
      <patternFill patternType="solid">
        <fgColor rgb="FFFCE8D5"/>
        <bgColor rgb="FFDDE4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DE4EE"/>
          <bgColor rgb="FF000000"/>
        </patternFill>
      </fill>
    </dxf>
    <dxf>
      <fill>
        <patternFill patternType="solid">
          <fgColor rgb="FFFCE8D5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8D5"/>
      <rgbColor rgb="FFCCFFFF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3" t="s">
        <v>4</v>
      </c>
    </row>
    <row r="7" customFormat="false" ht="23.85" hidden="false" customHeight="false" outlineLevel="0" collapsed="false">
      <c r="A7" s="2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23.85" hidden="false" customHeight="false" outlineLevel="0" collapsed="false">
      <c r="A11" s="2" t="s">
        <v>9</v>
      </c>
    </row>
    <row r="12" customFormat="false" ht="23.8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 t="s">
        <v>11</v>
      </c>
    </row>
    <row r="14" customFormat="false" ht="15" hidden="false" customHeight="false" outlineLevel="0" collapsed="false">
      <c r="A14" s="3" t="s">
        <v>12</v>
      </c>
    </row>
    <row r="15" customFormat="false" ht="23.85" hidden="false" customHeight="false" outlineLevel="0" collapsed="false">
      <c r="A15" s="2" t="s">
        <v>13</v>
      </c>
    </row>
    <row r="16" customFormat="false" ht="15" hidden="false" customHeight="false" outlineLevel="0" collapsed="false">
      <c r="A16" s="3" t="s">
        <v>14</v>
      </c>
    </row>
    <row r="17" customFormat="false" ht="15" hidden="false" customHeight="false" outlineLevel="0" collapsed="false">
      <c r="A17" s="2" t="s">
        <v>15</v>
      </c>
    </row>
    <row r="18" customFormat="false" ht="15" hidden="false" customHeight="false" outlineLevel="0" collapsed="false">
      <c r="A18" s="3" t="s">
        <v>16</v>
      </c>
    </row>
    <row r="19" customFormat="false" ht="23.85" hidden="false" customHeight="false" outlineLevel="0" collapsed="false">
      <c r="A19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6" min="2" style="0" width="12"/>
  </cols>
  <sheetData>
    <row r="1" customFormat="false" ht="15" hidden="false" customHeight="false" outlineLevel="0" collapsed="false">
      <c r="A1" s="4" t="s">
        <v>18</v>
      </c>
    </row>
    <row r="3" customFormat="false" ht="15" hidden="false" customHeight="false" outlineLevel="0" collapsed="false">
      <c r="A3" s="5" t="s">
        <v>19</v>
      </c>
      <c r="B3" s="6" t="n">
        <f aca="false">COUNT(Pairs!$F$2:$F$787)</f>
        <v>786</v>
      </c>
    </row>
    <row r="4" customFormat="false" ht="15" hidden="false" customHeight="false" outlineLevel="0" collapsed="false">
      <c r="A4" s="5" t="s">
        <v>20</v>
      </c>
      <c r="B4" s="6" t="n">
        <f aca="false">SUM(Pairs!$J$2:$J$787)</f>
        <v>571</v>
      </c>
    </row>
    <row r="5" customFormat="false" ht="15" hidden="false" customHeight="false" outlineLevel="0" collapsed="false">
      <c r="A5" s="5" t="s">
        <v>21</v>
      </c>
      <c r="B5" s="7" t="n">
        <f aca="false">B4/B3</f>
        <v>0.7264631043257</v>
      </c>
    </row>
    <row r="6" customFormat="false" ht="15" hidden="false" customHeight="false" outlineLevel="0" collapsed="false">
      <c r="A6" s="5" t="s">
        <v>22</v>
      </c>
      <c r="B6" s="6" t="n">
        <f aca="false">SUM(Pairs!$K$2:$K$787)</f>
        <v>725</v>
      </c>
    </row>
    <row r="7" customFormat="false" ht="15" hidden="false" customHeight="false" outlineLevel="0" collapsed="false">
      <c r="A7" s="5" t="s">
        <v>23</v>
      </c>
      <c r="B7" s="7" t="n">
        <f aca="false">B6/B3</f>
        <v>0.922391857506361</v>
      </c>
    </row>
    <row r="8" customFormat="false" ht="15" hidden="false" customHeight="false" outlineLevel="0" collapsed="false">
      <c r="A8" s="5" t="s">
        <v>24</v>
      </c>
      <c r="B8" s="6" t="n">
        <f aca="false">B3-B4</f>
        <v>215</v>
      </c>
    </row>
    <row r="9" customFormat="false" ht="15" hidden="false" customHeight="false" outlineLevel="0" collapsed="false">
      <c r="A9" s="5" t="s">
        <v>25</v>
      </c>
      <c r="B9" s="6" t="n">
        <f aca="false">COUNTIF(Pairs!$I$2:$I$787,1)</f>
        <v>154</v>
      </c>
    </row>
    <row r="10" customFormat="false" ht="15" hidden="false" customHeight="false" outlineLevel="0" collapsed="false">
      <c r="A10" s="5" t="s">
        <v>26</v>
      </c>
      <c r="B10" s="6" t="n">
        <f aca="false">COUNTIF(Pairs!$I$2:$I$787,2)</f>
        <v>43</v>
      </c>
    </row>
    <row r="11" customFormat="false" ht="15" hidden="false" customHeight="false" outlineLevel="0" collapsed="false">
      <c r="A11" s="5" t="s">
        <v>27</v>
      </c>
      <c r="B11" s="6" t="n">
        <f aca="false">COUNTIF(Pairs!$I$2:$I$787,3)</f>
        <v>18</v>
      </c>
    </row>
    <row r="12" customFormat="false" ht="15" hidden="false" customHeight="false" outlineLevel="0" collapsed="false">
      <c r="A12" s="5" t="s">
        <v>28</v>
      </c>
      <c r="B12" s="6" t="n">
        <f aca="false">COUNTIF(Pairs!$H$2:$H$787,"&gt;0")</f>
        <v>131</v>
      </c>
    </row>
    <row r="13" customFormat="false" ht="15" hidden="false" customHeight="false" outlineLevel="0" collapsed="false">
      <c r="A13" s="5" t="s">
        <v>29</v>
      </c>
      <c r="B13" s="7" t="n">
        <f aca="false">B12/B8</f>
        <v>0.609302325581395</v>
      </c>
    </row>
    <row r="14" customFormat="false" ht="15" hidden="false" customHeight="false" outlineLevel="0" collapsed="false">
      <c r="A14" s="5" t="s">
        <v>30</v>
      </c>
      <c r="B14" s="6" t="n">
        <f aca="false">COUNTIFS(Pairs!$F$2:$F$787,2,Pairs!$G$2:$G$787,3)+COUNTIFS(Pairs!$F$2:$F$787,3,Pairs!$G$2:$G$787,2)</f>
        <v>79</v>
      </c>
    </row>
    <row r="15" customFormat="false" ht="15" hidden="false" customHeight="false" outlineLevel="0" collapsed="false">
      <c r="A15" s="5" t="s">
        <v>31</v>
      </c>
      <c r="B15" s="7" t="n">
        <f aca="false">B14/B9</f>
        <v>0.512987012987013</v>
      </c>
    </row>
    <row r="16" customFormat="false" ht="15" hidden="false" customHeight="false" outlineLevel="0" collapsed="false">
      <c r="A16" s="5" t="s">
        <v>32</v>
      </c>
      <c r="B16" s="8" t="n">
        <f aca="false">1-SUMPRODUCT(B21:E24,B28:E31)/SUMPRODUCT(B21:E24,B35:E38)</f>
        <v>0.706611412857175</v>
      </c>
    </row>
    <row r="17" customFormat="false" ht="15" hidden="false" customHeight="false" outlineLevel="0" collapsed="false">
      <c r="A17" s="5" t="s">
        <v>33</v>
      </c>
      <c r="B17" s="8" t="n">
        <f aca="false">(B4/B3-(F28*B32+F29*C32+F30*D32+F31*E32)/B3^2)/(1-(F28*B32+F29*C32+F30*D32+F31*E32)/B3^2)</f>
        <v>0.615512377138697</v>
      </c>
    </row>
    <row r="20" customFormat="false" ht="15" hidden="false" customHeight="false" outlineLevel="0" collapsed="false">
      <c r="A20" s="9" t="s">
        <v>34</v>
      </c>
      <c r="B20" s="9" t="n">
        <v>0</v>
      </c>
      <c r="C20" s="9" t="n">
        <v>1</v>
      </c>
      <c r="D20" s="9" t="n">
        <v>2</v>
      </c>
      <c r="E20" s="9" t="n">
        <v>3</v>
      </c>
    </row>
    <row r="21" customFormat="false" ht="15" hidden="false" customHeight="false" outlineLevel="0" collapsed="false">
      <c r="A21" s="9" t="n">
        <v>0</v>
      </c>
      <c r="B21" s="10" t="n">
        <v>0</v>
      </c>
      <c r="C21" s="10" t="n">
        <v>0.333333333333333</v>
      </c>
      <c r="D21" s="10" t="n">
        <v>0.666666666666667</v>
      </c>
      <c r="E21" s="10" t="n">
        <v>1</v>
      </c>
    </row>
    <row r="22" customFormat="false" ht="15" hidden="false" customHeight="false" outlineLevel="0" collapsed="false">
      <c r="A22" s="9" t="n">
        <v>1</v>
      </c>
      <c r="B22" s="10" t="n">
        <v>0.333333333333333</v>
      </c>
      <c r="C22" s="10" t="n">
        <v>0</v>
      </c>
      <c r="D22" s="10" t="n">
        <v>0.333333333333333</v>
      </c>
      <c r="E22" s="10" t="n">
        <v>0.666666666666667</v>
      </c>
    </row>
    <row r="23" customFormat="false" ht="15" hidden="false" customHeight="false" outlineLevel="0" collapsed="false">
      <c r="A23" s="9" t="n">
        <v>2</v>
      </c>
      <c r="B23" s="10" t="n">
        <v>0.666666666666667</v>
      </c>
      <c r="C23" s="10" t="n">
        <v>0.333333333333333</v>
      </c>
      <c r="D23" s="10" t="n">
        <v>0</v>
      </c>
      <c r="E23" s="10" t="n">
        <v>0.333333333333333</v>
      </c>
    </row>
    <row r="24" customFormat="false" ht="15" hidden="false" customHeight="false" outlineLevel="0" collapsed="false">
      <c r="A24" s="9" t="n">
        <v>3</v>
      </c>
      <c r="B24" s="10" t="n">
        <v>1</v>
      </c>
      <c r="C24" s="10" t="n">
        <v>0.666666666666667</v>
      </c>
      <c r="D24" s="10" t="n">
        <v>0.333333333333333</v>
      </c>
      <c r="E24" s="10" t="n">
        <v>0</v>
      </c>
    </row>
    <row r="27" customFormat="false" ht="15" hidden="false" customHeight="false" outlineLevel="0" collapsed="false">
      <c r="A27" s="9" t="s">
        <v>35</v>
      </c>
      <c r="B27" s="9" t="n">
        <v>0</v>
      </c>
      <c r="C27" s="9" t="n">
        <v>1</v>
      </c>
      <c r="D27" s="9" t="n">
        <v>2</v>
      </c>
      <c r="E27" s="9" t="n">
        <v>3</v>
      </c>
      <c r="F27" s="9" t="s">
        <v>36</v>
      </c>
    </row>
    <row r="28" customFormat="false" ht="15" hidden="false" customHeight="false" outlineLevel="0" collapsed="false">
      <c r="A28" s="9" t="n">
        <v>0</v>
      </c>
      <c r="B28" s="5" t="n">
        <f aca="false">COUNTIFS(Pairs!$F$2:$F$787,0,Pairs!$G$2:$G$787,0)</f>
        <v>118</v>
      </c>
      <c r="C28" s="5" t="n">
        <f aca="false">COUNTIFS(Pairs!$F$2:$F$787,0,Pairs!$G$2:$G$787,1)</f>
        <v>13</v>
      </c>
      <c r="D28" s="5" t="n">
        <f aca="false">COUNTIFS(Pairs!$F$2:$F$787,0,Pairs!$G$2:$G$787,2)</f>
        <v>11</v>
      </c>
      <c r="E28" s="5" t="n">
        <f aca="false">COUNTIFS(Pairs!$F$2:$F$787,0,Pairs!$G$2:$G$787,3)</f>
        <v>9</v>
      </c>
      <c r="F28" s="5" t="n">
        <f aca="false">SUM(B28:E28)</f>
        <v>151</v>
      </c>
    </row>
    <row r="29" customFormat="false" ht="15" hidden="false" customHeight="false" outlineLevel="0" collapsed="false">
      <c r="A29" s="9" t="n">
        <v>1</v>
      </c>
      <c r="B29" s="5" t="n">
        <f aca="false">COUNTIFS(Pairs!$F$2:$F$787,1,Pairs!$G$2:$G$787,0)</f>
        <v>27</v>
      </c>
      <c r="C29" s="5" t="n">
        <f aca="false">COUNTIFS(Pairs!$F$2:$F$787,1,Pairs!$G$2:$G$787,1)</f>
        <v>75</v>
      </c>
      <c r="D29" s="5" t="n">
        <f aca="false">COUNTIFS(Pairs!$F$2:$F$787,1,Pairs!$G$2:$G$787,2)</f>
        <v>32</v>
      </c>
      <c r="E29" s="5" t="n">
        <f aca="false">COUNTIFS(Pairs!$F$2:$F$787,1,Pairs!$G$2:$G$787,3)</f>
        <v>5</v>
      </c>
      <c r="F29" s="5" t="n">
        <f aca="false">SUM(B29:E29)</f>
        <v>139</v>
      </c>
    </row>
    <row r="30" customFormat="false" ht="15" hidden="false" customHeight="false" outlineLevel="0" collapsed="false">
      <c r="A30" s="9" t="n">
        <v>2</v>
      </c>
      <c r="B30" s="5" t="n">
        <f aca="false">COUNTIFS(Pairs!$F$2:$F$787,2,Pairs!$G$2:$G$787,0)</f>
        <v>19</v>
      </c>
      <c r="C30" s="5" t="n">
        <f aca="false">COUNTIFS(Pairs!$F$2:$F$787,2,Pairs!$G$2:$G$787,1)</f>
        <v>3</v>
      </c>
      <c r="D30" s="5" t="n">
        <f aca="false">COUNTIFS(Pairs!$F$2:$F$787,2,Pairs!$G$2:$G$787,2)</f>
        <v>105</v>
      </c>
      <c r="E30" s="5" t="n">
        <f aca="false">COUNTIFS(Pairs!$F$2:$F$787,2,Pairs!$G$2:$G$787,3)</f>
        <v>61</v>
      </c>
      <c r="F30" s="5" t="n">
        <f aca="false">SUM(B30:E30)</f>
        <v>188</v>
      </c>
    </row>
    <row r="31" customFormat="false" ht="15" hidden="false" customHeight="false" outlineLevel="0" collapsed="false">
      <c r="A31" s="9" t="n">
        <v>3</v>
      </c>
      <c r="B31" s="5" t="n">
        <f aca="false">COUNTIFS(Pairs!$F$2:$F$787,3,Pairs!$G$2:$G$787,0)</f>
        <v>9</v>
      </c>
      <c r="C31" s="5" t="n">
        <f aca="false">COUNTIFS(Pairs!$F$2:$F$787,3,Pairs!$G$2:$G$787,1)</f>
        <v>8</v>
      </c>
      <c r="D31" s="5" t="n">
        <f aca="false">COUNTIFS(Pairs!$F$2:$F$787,3,Pairs!$G$2:$G$787,2)</f>
        <v>18</v>
      </c>
      <c r="E31" s="5" t="n">
        <f aca="false">COUNTIFS(Pairs!$F$2:$F$787,3,Pairs!$G$2:$G$787,3)</f>
        <v>273</v>
      </c>
      <c r="F31" s="5" t="n">
        <f aca="false">SUM(B31:E31)</f>
        <v>308</v>
      </c>
    </row>
    <row r="32" customFormat="false" ht="15" hidden="false" customHeight="false" outlineLevel="0" collapsed="false">
      <c r="A32" s="9" t="s">
        <v>37</v>
      </c>
      <c r="B32" s="5" t="n">
        <f aca="false">SUM(B28:B31)</f>
        <v>173</v>
      </c>
      <c r="C32" s="5" t="n">
        <f aca="false">SUM(C28:C31)</f>
        <v>99</v>
      </c>
      <c r="D32" s="5" t="n">
        <f aca="false">SUM(D28:D31)</f>
        <v>166</v>
      </c>
      <c r="E32" s="5" t="n">
        <f aca="false">SUM(E28:E31)</f>
        <v>348</v>
      </c>
    </row>
    <row r="34" customFormat="false" ht="15" hidden="false" customHeight="false" outlineLevel="0" collapsed="false">
      <c r="A34" s="9" t="s">
        <v>38</v>
      </c>
      <c r="B34" s="9" t="n">
        <v>0</v>
      </c>
      <c r="C34" s="9" t="n">
        <v>1</v>
      </c>
      <c r="D34" s="9" t="n">
        <v>2</v>
      </c>
      <c r="E34" s="9" t="n">
        <v>3</v>
      </c>
    </row>
    <row r="35" customFormat="false" ht="15" hidden="false" customHeight="false" outlineLevel="0" collapsed="false">
      <c r="A35" s="9" t="n">
        <v>0</v>
      </c>
      <c r="B35" s="11" t="n">
        <f aca="false">$F28*B$32/$B$3</f>
        <v>33.235368956743</v>
      </c>
      <c r="C35" s="11" t="n">
        <f aca="false">$F28*C$32/$B$3</f>
        <v>19.0190839694656</v>
      </c>
      <c r="D35" s="11" t="n">
        <f aca="false">$F28*D$32/$B$3</f>
        <v>31.8905852417303</v>
      </c>
      <c r="E35" s="11" t="n">
        <f aca="false">$F28*E$32/$B$3</f>
        <v>66.8549618320611</v>
      </c>
    </row>
    <row r="36" customFormat="false" ht="15" hidden="false" customHeight="false" outlineLevel="0" collapsed="false">
      <c r="A36" s="9" t="n">
        <v>1</v>
      </c>
      <c r="B36" s="11" t="n">
        <f aca="false">$F29*B$32/$B$3</f>
        <v>30.5941475826972</v>
      </c>
      <c r="C36" s="11" t="n">
        <f aca="false">$F29*C$32/$B$3</f>
        <v>17.5076335877863</v>
      </c>
      <c r="D36" s="11" t="n">
        <f aca="false">$F29*D$32/$B$3</f>
        <v>29.3562340966921</v>
      </c>
      <c r="E36" s="11" t="n">
        <f aca="false">$F29*E$32/$B$3</f>
        <v>61.5419847328244</v>
      </c>
    </row>
    <row r="37" customFormat="false" ht="15" hidden="false" customHeight="false" outlineLevel="0" collapsed="false">
      <c r="A37" s="9" t="n">
        <v>2</v>
      </c>
      <c r="B37" s="11" t="n">
        <f aca="false">$F30*B$32/$B$3</f>
        <v>41.3791348600509</v>
      </c>
      <c r="C37" s="11" t="n">
        <f aca="false">$F30*C$32/$B$3</f>
        <v>23.6793893129771</v>
      </c>
      <c r="D37" s="11" t="n">
        <f aca="false">$F30*D$32/$B$3</f>
        <v>39.704834605598</v>
      </c>
      <c r="E37" s="11" t="n">
        <f aca="false">$F30*E$32/$B$3</f>
        <v>83.236641221374</v>
      </c>
    </row>
    <row r="38" customFormat="false" ht="15" hidden="false" customHeight="false" outlineLevel="0" collapsed="false">
      <c r="A38" s="9" t="n">
        <v>3</v>
      </c>
      <c r="B38" s="11" t="n">
        <f aca="false">$F31*B$32/$B$3</f>
        <v>67.7913486005089</v>
      </c>
      <c r="C38" s="11" t="n">
        <f aca="false">$F31*C$32/$B$3</f>
        <v>38.793893129771</v>
      </c>
      <c r="D38" s="11" t="n">
        <f aca="false">$F31*D$32/$B$3</f>
        <v>65.0483460559797</v>
      </c>
      <c r="E38" s="11" t="n">
        <f aca="false">$F31*E$32/$B$3</f>
        <v>136.36641221374</v>
      </c>
    </row>
    <row r="41" customFormat="false" ht="15" hidden="false" customHeight="false" outlineLevel="0" collapsed="false">
      <c r="A41" s="1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5"/>
  </cols>
  <sheetData>
    <row r="1" customFormat="false" ht="15" hidden="false" customHeight="false" outlineLevel="0" collapsed="false">
      <c r="A1" s="13" t="s">
        <v>40</v>
      </c>
      <c r="B1" s="13" t="s">
        <v>41</v>
      </c>
      <c r="C1" s="13" t="s">
        <v>42</v>
      </c>
      <c r="D1" s="13" t="s">
        <v>20</v>
      </c>
      <c r="E1" s="13" t="s">
        <v>43</v>
      </c>
      <c r="F1" s="13" t="s">
        <v>44</v>
      </c>
      <c r="G1" s="13" t="s">
        <v>45</v>
      </c>
    </row>
    <row r="2" customFormat="false" ht="15" hidden="false" customHeight="false" outlineLevel="0" collapsed="false">
      <c r="A2" s="5" t="s">
        <v>46</v>
      </c>
      <c r="B2" s="5" t="s">
        <v>47</v>
      </c>
      <c r="C2" s="5" t="n">
        <f aca="false">COUNTIF(Pairs!$A$2:$A$787,A2)</f>
        <v>126</v>
      </c>
      <c r="D2" s="5" t="n">
        <f aca="false">COUNTIFS(Pairs!$A$2:$A$787,A2,Pairs!$J$2:$J$787,1)</f>
        <v>88</v>
      </c>
      <c r="E2" s="14" t="n">
        <f aca="false">D2/C2</f>
        <v>0.698412698412698</v>
      </c>
      <c r="F2" s="5" t="n">
        <f aca="false">COUNTIFS(Pairs!$A$2:$A$787,A2,Pairs!$K$2:$K$787,1)</f>
        <v>120</v>
      </c>
      <c r="G2" s="14" t="n">
        <f aca="false">F2/C2</f>
        <v>0.952380952380952</v>
      </c>
    </row>
    <row r="3" customFormat="false" ht="15" hidden="false" customHeight="false" outlineLevel="0" collapsed="false">
      <c r="A3" s="5" t="s">
        <v>48</v>
      </c>
      <c r="B3" s="5" t="s">
        <v>49</v>
      </c>
      <c r="C3" s="5" t="n">
        <f aca="false">COUNTIF(Pairs!$A$2:$A$787,A3)</f>
        <v>140</v>
      </c>
      <c r="D3" s="5" t="n">
        <f aca="false">COUNTIFS(Pairs!$A$2:$A$787,A3,Pairs!$J$2:$J$787,1)</f>
        <v>112</v>
      </c>
      <c r="E3" s="14" t="n">
        <f aca="false">D3/C3</f>
        <v>0.8</v>
      </c>
      <c r="F3" s="5" t="n">
        <f aca="false">COUNTIFS(Pairs!$A$2:$A$787,A3,Pairs!$K$2:$K$787,1)</f>
        <v>130</v>
      </c>
      <c r="G3" s="14" t="n">
        <f aca="false">F3/C3</f>
        <v>0.928571428571429</v>
      </c>
    </row>
    <row r="4" customFormat="false" ht="15" hidden="false" customHeight="false" outlineLevel="0" collapsed="false">
      <c r="A4" s="5" t="s">
        <v>50</v>
      </c>
      <c r="B4" s="5" t="s">
        <v>49</v>
      </c>
      <c r="C4" s="5" t="n">
        <f aca="false">COUNTIF(Pairs!$A$2:$A$787,A4)</f>
        <v>128</v>
      </c>
      <c r="D4" s="5" t="n">
        <f aca="false">COUNTIFS(Pairs!$A$2:$A$787,A4,Pairs!$J$2:$J$787,1)</f>
        <v>98</v>
      </c>
      <c r="E4" s="14" t="n">
        <f aca="false">D4/C4</f>
        <v>0.765625</v>
      </c>
      <c r="F4" s="5" t="n">
        <f aca="false">COUNTIFS(Pairs!$A$2:$A$787,A4,Pairs!$K$2:$K$787,1)</f>
        <v>113</v>
      </c>
      <c r="G4" s="14" t="n">
        <f aca="false">F4/C4</f>
        <v>0.8828125</v>
      </c>
    </row>
    <row r="5" customFormat="false" ht="15" hidden="false" customHeight="false" outlineLevel="0" collapsed="false">
      <c r="A5" s="5" t="s">
        <v>51</v>
      </c>
      <c r="B5" s="5" t="s">
        <v>52</v>
      </c>
      <c r="C5" s="5" t="n">
        <f aca="false">COUNTIF(Pairs!$A$2:$A$787,A5)</f>
        <v>136</v>
      </c>
      <c r="D5" s="5" t="n">
        <f aca="false">COUNTIFS(Pairs!$A$2:$A$787,A5,Pairs!$J$2:$J$787,1)</f>
        <v>85</v>
      </c>
      <c r="E5" s="14" t="n">
        <f aca="false">D5/C5</f>
        <v>0.625</v>
      </c>
      <c r="F5" s="5" t="n">
        <f aca="false">COUNTIFS(Pairs!$A$2:$A$787,A5,Pairs!$K$2:$K$787,1)</f>
        <v>122</v>
      </c>
      <c r="G5" s="14" t="n">
        <f aca="false">F5/C5</f>
        <v>0.897058823529412</v>
      </c>
    </row>
    <row r="6" customFormat="false" ht="15" hidden="false" customHeight="false" outlineLevel="0" collapsed="false">
      <c r="A6" s="5" t="s">
        <v>53</v>
      </c>
      <c r="B6" s="5" t="s">
        <v>52</v>
      </c>
      <c r="C6" s="5" t="n">
        <f aca="false">COUNTIF(Pairs!$A$2:$A$787,A6)</f>
        <v>116</v>
      </c>
      <c r="D6" s="5" t="n">
        <f aca="false">COUNTIFS(Pairs!$A$2:$A$787,A6,Pairs!$J$2:$J$787,1)</f>
        <v>79</v>
      </c>
      <c r="E6" s="14" t="n">
        <f aca="false">D6/C6</f>
        <v>0.681034482758621</v>
      </c>
      <c r="F6" s="5" t="n">
        <f aca="false">COUNTIFS(Pairs!$A$2:$A$787,A6,Pairs!$K$2:$K$787,1)</f>
        <v>105</v>
      </c>
      <c r="G6" s="14" t="n">
        <f aca="false">F6/C6</f>
        <v>0.905172413793103</v>
      </c>
    </row>
    <row r="7" customFormat="false" ht="15" hidden="false" customHeight="false" outlineLevel="0" collapsed="false">
      <c r="A7" s="5" t="s">
        <v>54</v>
      </c>
      <c r="B7" s="5" t="s">
        <v>55</v>
      </c>
      <c r="C7" s="5" t="n">
        <f aca="false">COUNTIF(Pairs!$A$2:$A$787,A7)</f>
        <v>140</v>
      </c>
      <c r="D7" s="5" t="n">
        <f aca="false">COUNTIFS(Pairs!$A$2:$A$787,A7,Pairs!$J$2:$J$787,1)</f>
        <v>109</v>
      </c>
      <c r="E7" s="14" t="n">
        <f aca="false">D7/C7</f>
        <v>0.778571428571429</v>
      </c>
      <c r="F7" s="5" t="n">
        <f aca="false">COUNTIFS(Pairs!$A$2:$A$787,A7,Pairs!$K$2:$K$787,1)</f>
        <v>135</v>
      </c>
      <c r="G7" s="14" t="n">
        <f aca="false">F7/C7</f>
        <v>0.964285714285714</v>
      </c>
    </row>
    <row r="8" customFormat="false" ht="15" hidden="false" customHeight="false" outlineLevel="0" collapsed="false">
      <c r="A8" s="9" t="s">
        <v>56</v>
      </c>
      <c r="C8" s="9" t="n">
        <f aca="false">SUM(C2:C7)</f>
        <v>786</v>
      </c>
      <c r="D8" s="9" t="n">
        <f aca="false">SUM(D2:D7)</f>
        <v>571</v>
      </c>
      <c r="E8" s="7" t="n">
        <f aca="false">D8/C8</f>
        <v>0.7264631043257</v>
      </c>
      <c r="F8" s="9" t="n">
        <f aca="false">SUM(F2:F7)</f>
        <v>725</v>
      </c>
      <c r="G8" s="7" t="n">
        <f aca="false">F8/C8</f>
        <v>0.922391857506361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4" min="4" style="0" width="15"/>
    <col collapsed="false" customWidth="true" hidden="false" outlineLevel="0" max="5" min="5" style="0" width="46"/>
    <col collapsed="false" customWidth="true" hidden="false" outlineLevel="0" max="7" min="6" style="0" width="10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2" min="10" style="0" width="11"/>
    <col collapsed="false" customWidth="true" hidden="false" outlineLevel="0" max="13" min="13" style="0" width="48"/>
  </cols>
  <sheetData>
    <row r="1" customFormat="false" ht="46.25" hidden="false" customHeight="false" outlineLevel="0" collapsed="false">
      <c r="A1" s="15" t="s">
        <v>40</v>
      </c>
      <c r="B1" s="15" t="s">
        <v>41</v>
      </c>
      <c r="C1" s="15" t="s">
        <v>57</v>
      </c>
      <c r="D1" s="15" t="s">
        <v>58</v>
      </c>
      <c r="E1" s="15" t="s">
        <v>59</v>
      </c>
      <c r="F1" s="15" t="s">
        <v>60</v>
      </c>
      <c r="G1" s="15" t="s">
        <v>61</v>
      </c>
      <c r="H1" s="15" t="s">
        <v>62</v>
      </c>
      <c r="I1" s="15" t="s">
        <v>63</v>
      </c>
      <c r="J1" s="15" t="s">
        <v>64</v>
      </c>
      <c r="K1" s="15" t="s">
        <v>65</v>
      </c>
      <c r="L1" s="15" t="s">
        <v>66</v>
      </c>
      <c r="M1" s="15" t="s">
        <v>67</v>
      </c>
    </row>
    <row r="2" customFormat="false" ht="15" hidden="false" customHeight="false" outlineLevel="0" collapsed="false">
      <c r="A2" s="5" t="s">
        <v>46</v>
      </c>
      <c r="B2" s="5" t="s">
        <v>47</v>
      </c>
      <c r="C2" s="5" t="s">
        <v>68</v>
      </c>
      <c r="D2" s="5" t="s">
        <v>69</v>
      </c>
      <c r="E2" s="5" t="s">
        <v>70</v>
      </c>
      <c r="F2" s="5" t="n">
        <v>3</v>
      </c>
      <c r="G2" s="5" t="n">
        <v>3</v>
      </c>
      <c r="H2" s="5" t="n">
        <f aca="false">G2-F2</f>
        <v>0</v>
      </c>
      <c r="I2" s="5" t="n">
        <f aca="false">ABS(H2)</f>
        <v>0</v>
      </c>
      <c r="J2" s="5" t="n">
        <f aca="false">IF(I2=0,1,0)</f>
        <v>1</v>
      </c>
      <c r="K2" s="5" t="n">
        <f aca="false">IF(I2&lt;=1,1,0)</f>
        <v>1</v>
      </c>
      <c r="L2" s="5" t="s">
        <v>71</v>
      </c>
      <c r="M2" s="5" t="s">
        <v>72</v>
      </c>
    </row>
    <row r="3" customFormat="false" ht="15" hidden="false" customHeight="false" outlineLevel="0" collapsed="false">
      <c r="A3" s="5" t="s">
        <v>46</v>
      </c>
      <c r="B3" s="5" t="s">
        <v>47</v>
      </c>
      <c r="C3" s="5" t="s">
        <v>68</v>
      </c>
      <c r="D3" s="5" t="s">
        <v>69</v>
      </c>
      <c r="E3" s="5" t="s">
        <v>73</v>
      </c>
      <c r="F3" s="5" t="n">
        <v>2</v>
      </c>
      <c r="G3" s="5" t="n">
        <v>2</v>
      </c>
      <c r="H3" s="5" t="n">
        <f aca="false">G3-F3</f>
        <v>0</v>
      </c>
      <c r="I3" s="5" t="n">
        <f aca="false">ABS(H3)</f>
        <v>0</v>
      </c>
      <c r="J3" s="5" t="n">
        <f aca="false">IF(I3=0,1,0)</f>
        <v>1</v>
      </c>
      <c r="K3" s="5" t="n">
        <f aca="false">IF(I3&lt;=1,1,0)</f>
        <v>1</v>
      </c>
      <c r="L3" s="5" t="s">
        <v>71</v>
      </c>
      <c r="M3" s="5" t="s">
        <v>72</v>
      </c>
    </row>
    <row r="4" customFormat="false" ht="15" hidden="false" customHeight="false" outlineLevel="0" collapsed="false">
      <c r="A4" s="16" t="s">
        <v>46</v>
      </c>
      <c r="B4" s="16" t="s">
        <v>47</v>
      </c>
      <c r="C4" s="16" t="s">
        <v>68</v>
      </c>
      <c r="D4" s="16" t="s">
        <v>74</v>
      </c>
      <c r="E4" s="16" t="s">
        <v>75</v>
      </c>
      <c r="F4" s="16" t="n">
        <v>2</v>
      </c>
      <c r="G4" s="16" t="n">
        <v>3</v>
      </c>
      <c r="H4" s="16" t="n">
        <f aca="false">G4-F4</f>
        <v>1</v>
      </c>
      <c r="I4" s="16" t="n">
        <f aca="false">ABS(H4)</f>
        <v>1</v>
      </c>
      <c r="J4" s="16" t="n">
        <f aca="false">IF(I4=0,1,0)</f>
        <v>0</v>
      </c>
      <c r="K4" s="16" t="n">
        <f aca="false">IF(I4&lt;=1,1,0)</f>
        <v>1</v>
      </c>
      <c r="L4" s="16" t="s">
        <v>76</v>
      </c>
      <c r="M4" s="16" t="s">
        <v>77</v>
      </c>
    </row>
    <row r="5" customFormat="false" ht="15" hidden="false" customHeight="false" outlineLevel="0" collapsed="false">
      <c r="A5" s="16" t="s">
        <v>46</v>
      </c>
      <c r="B5" s="16" t="s">
        <v>47</v>
      </c>
      <c r="C5" s="16" t="s">
        <v>68</v>
      </c>
      <c r="D5" s="16" t="s">
        <v>74</v>
      </c>
      <c r="E5" s="16" t="s">
        <v>78</v>
      </c>
      <c r="F5" s="16" t="n">
        <v>0</v>
      </c>
      <c r="G5" s="16" t="n">
        <v>1</v>
      </c>
      <c r="H5" s="16" t="n">
        <f aca="false">G5-F5</f>
        <v>1</v>
      </c>
      <c r="I5" s="16" t="n">
        <f aca="false">ABS(H5)</f>
        <v>1</v>
      </c>
      <c r="J5" s="16" t="n">
        <f aca="false">IF(I5=0,1,0)</f>
        <v>0</v>
      </c>
      <c r="K5" s="16" t="n">
        <f aca="false">IF(I5&lt;=1,1,0)</f>
        <v>1</v>
      </c>
      <c r="L5" s="16" t="s">
        <v>76</v>
      </c>
      <c r="M5" s="16" t="s">
        <v>77</v>
      </c>
    </row>
    <row r="6" customFormat="false" ht="15" hidden="false" customHeight="false" outlineLevel="0" collapsed="false">
      <c r="A6" s="5" t="s">
        <v>46</v>
      </c>
      <c r="B6" s="5" t="s">
        <v>47</v>
      </c>
      <c r="C6" s="5" t="s">
        <v>68</v>
      </c>
      <c r="D6" s="5" t="s">
        <v>74</v>
      </c>
      <c r="E6" s="5" t="s">
        <v>79</v>
      </c>
      <c r="F6" s="5" t="n">
        <v>0</v>
      </c>
      <c r="G6" s="5" t="n">
        <v>0</v>
      </c>
      <c r="H6" s="5" t="n">
        <f aca="false">G6-F6</f>
        <v>0</v>
      </c>
      <c r="I6" s="5" t="n">
        <f aca="false">ABS(H6)</f>
        <v>0</v>
      </c>
      <c r="J6" s="5" t="n">
        <f aca="false">IF(I6=0,1,0)</f>
        <v>1</v>
      </c>
      <c r="K6" s="5" t="n">
        <f aca="false">IF(I6&lt;=1,1,0)</f>
        <v>1</v>
      </c>
      <c r="L6" s="5" t="s">
        <v>71</v>
      </c>
      <c r="M6" s="5" t="s">
        <v>77</v>
      </c>
    </row>
    <row r="7" customFormat="false" ht="15" hidden="false" customHeight="false" outlineLevel="0" collapsed="false">
      <c r="A7" s="16" t="s">
        <v>46</v>
      </c>
      <c r="B7" s="16" t="s">
        <v>47</v>
      </c>
      <c r="C7" s="16" t="s">
        <v>68</v>
      </c>
      <c r="D7" s="16" t="s">
        <v>74</v>
      </c>
      <c r="E7" s="16" t="s">
        <v>80</v>
      </c>
      <c r="F7" s="16" t="n">
        <v>2</v>
      </c>
      <c r="G7" s="16" t="n">
        <v>3</v>
      </c>
      <c r="H7" s="16" t="n">
        <f aca="false">G7-F7</f>
        <v>1</v>
      </c>
      <c r="I7" s="16" t="n">
        <f aca="false">ABS(H7)</f>
        <v>1</v>
      </c>
      <c r="J7" s="16" t="n">
        <f aca="false">IF(I7=0,1,0)</f>
        <v>0</v>
      </c>
      <c r="K7" s="16" t="n">
        <f aca="false">IF(I7&lt;=1,1,0)</f>
        <v>1</v>
      </c>
      <c r="L7" s="16" t="s">
        <v>76</v>
      </c>
      <c r="M7" s="16" t="s">
        <v>77</v>
      </c>
    </row>
    <row r="8" customFormat="false" ht="15" hidden="false" customHeight="false" outlineLevel="0" collapsed="false">
      <c r="A8" s="5" t="s">
        <v>46</v>
      </c>
      <c r="B8" s="5" t="s">
        <v>47</v>
      </c>
      <c r="C8" s="5" t="s">
        <v>68</v>
      </c>
      <c r="D8" s="5" t="s">
        <v>74</v>
      </c>
      <c r="E8" s="5" t="s">
        <v>81</v>
      </c>
      <c r="F8" s="5" t="n">
        <v>3</v>
      </c>
      <c r="G8" s="5" t="n">
        <v>3</v>
      </c>
      <c r="H8" s="5" t="n">
        <f aca="false">G8-F8</f>
        <v>0</v>
      </c>
      <c r="I8" s="5" t="n">
        <f aca="false">ABS(H8)</f>
        <v>0</v>
      </c>
      <c r="J8" s="5" t="n">
        <f aca="false">IF(I8=0,1,0)</f>
        <v>1</v>
      </c>
      <c r="K8" s="5" t="n">
        <f aca="false">IF(I8&lt;=1,1,0)</f>
        <v>1</v>
      </c>
      <c r="L8" s="5" t="s">
        <v>71</v>
      </c>
      <c r="M8" s="5" t="s">
        <v>77</v>
      </c>
    </row>
    <row r="9" customFormat="false" ht="15" hidden="false" customHeight="false" outlineLevel="0" collapsed="false">
      <c r="A9" s="5" t="s">
        <v>46</v>
      </c>
      <c r="B9" s="5" t="s">
        <v>47</v>
      </c>
      <c r="C9" s="5" t="s">
        <v>68</v>
      </c>
      <c r="D9" s="5" t="s">
        <v>82</v>
      </c>
      <c r="E9" s="5" t="s">
        <v>75</v>
      </c>
      <c r="F9" s="5" t="n">
        <v>1</v>
      </c>
      <c r="G9" s="5" t="n">
        <v>1</v>
      </c>
      <c r="H9" s="5" t="n">
        <f aca="false">G9-F9</f>
        <v>0</v>
      </c>
      <c r="I9" s="5" t="n">
        <f aca="false">ABS(H9)</f>
        <v>0</v>
      </c>
      <c r="J9" s="5" t="n">
        <f aca="false">IF(I9=0,1,0)</f>
        <v>1</v>
      </c>
      <c r="K9" s="5" t="n">
        <f aca="false">IF(I9&lt;=1,1,0)</f>
        <v>1</v>
      </c>
      <c r="L9" s="5" t="s">
        <v>71</v>
      </c>
      <c r="M9" s="5" t="s">
        <v>83</v>
      </c>
    </row>
    <row r="10" customFormat="false" ht="15" hidden="false" customHeight="false" outlineLevel="0" collapsed="false">
      <c r="A10" s="5" t="s">
        <v>46</v>
      </c>
      <c r="B10" s="5" t="s">
        <v>47</v>
      </c>
      <c r="C10" s="5" t="s">
        <v>68</v>
      </c>
      <c r="D10" s="5" t="s">
        <v>82</v>
      </c>
      <c r="E10" s="5" t="s">
        <v>78</v>
      </c>
      <c r="F10" s="5" t="n">
        <v>0</v>
      </c>
      <c r="G10" s="5" t="n">
        <v>0</v>
      </c>
      <c r="H10" s="5" t="n">
        <f aca="false">G10-F10</f>
        <v>0</v>
      </c>
      <c r="I10" s="5" t="n">
        <f aca="false">ABS(H10)</f>
        <v>0</v>
      </c>
      <c r="J10" s="5" t="n">
        <f aca="false">IF(I10=0,1,0)</f>
        <v>1</v>
      </c>
      <c r="K10" s="5" t="n">
        <f aca="false">IF(I10&lt;=1,1,0)</f>
        <v>1</v>
      </c>
      <c r="L10" s="5" t="s">
        <v>71</v>
      </c>
      <c r="M10" s="5" t="s">
        <v>83</v>
      </c>
    </row>
    <row r="11" customFormat="false" ht="15" hidden="false" customHeight="false" outlineLevel="0" collapsed="false">
      <c r="A11" s="5" t="s">
        <v>46</v>
      </c>
      <c r="B11" s="5" t="s">
        <v>47</v>
      </c>
      <c r="C11" s="5" t="s">
        <v>68</v>
      </c>
      <c r="D11" s="5" t="s">
        <v>82</v>
      </c>
      <c r="E11" s="5" t="s">
        <v>79</v>
      </c>
      <c r="F11" s="5" t="n">
        <v>0</v>
      </c>
      <c r="G11" s="5" t="n">
        <v>0</v>
      </c>
      <c r="H11" s="5" t="n">
        <f aca="false">G11-F11</f>
        <v>0</v>
      </c>
      <c r="I11" s="5" t="n">
        <f aca="false">ABS(H11)</f>
        <v>0</v>
      </c>
      <c r="J11" s="5" t="n">
        <f aca="false">IF(I11=0,1,0)</f>
        <v>1</v>
      </c>
      <c r="K11" s="5" t="n">
        <f aca="false">IF(I11&lt;=1,1,0)</f>
        <v>1</v>
      </c>
      <c r="L11" s="5" t="s">
        <v>71</v>
      </c>
      <c r="M11" s="5" t="s">
        <v>83</v>
      </c>
    </row>
    <row r="12" customFormat="false" ht="15" hidden="false" customHeight="false" outlineLevel="0" collapsed="false">
      <c r="A12" s="5" t="s">
        <v>46</v>
      </c>
      <c r="B12" s="5" t="s">
        <v>47</v>
      </c>
      <c r="C12" s="5" t="s">
        <v>68</v>
      </c>
      <c r="D12" s="5" t="s">
        <v>82</v>
      </c>
      <c r="E12" s="5" t="s">
        <v>80</v>
      </c>
      <c r="F12" s="5" t="n">
        <v>2</v>
      </c>
      <c r="G12" s="5" t="n">
        <v>2</v>
      </c>
      <c r="H12" s="5" t="n">
        <f aca="false">G12-F12</f>
        <v>0</v>
      </c>
      <c r="I12" s="5" t="n">
        <f aca="false">ABS(H12)</f>
        <v>0</v>
      </c>
      <c r="J12" s="5" t="n">
        <f aca="false">IF(I12=0,1,0)</f>
        <v>1</v>
      </c>
      <c r="K12" s="5" t="n">
        <f aca="false">IF(I12&lt;=1,1,0)</f>
        <v>1</v>
      </c>
      <c r="L12" s="5" t="s">
        <v>71</v>
      </c>
      <c r="M12" s="5" t="s">
        <v>83</v>
      </c>
    </row>
    <row r="13" customFormat="false" ht="15" hidden="false" customHeight="false" outlineLevel="0" collapsed="false">
      <c r="A13" s="5" t="s">
        <v>46</v>
      </c>
      <c r="B13" s="5" t="s">
        <v>47</v>
      </c>
      <c r="C13" s="5" t="s">
        <v>68</v>
      </c>
      <c r="D13" s="5" t="s">
        <v>82</v>
      </c>
      <c r="E13" s="5" t="s">
        <v>81</v>
      </c>
      <c r="F13" s="5" t="n">
        <v>2</v>
      </c>
      <c r="G13" s="5" t="n">
        <v>2</v>
      </c>
      <c r="H13" s="5" t="n">
        <f aca="false">G13-F13</f>
        <v>0</v>
      </c>
      <c r="I13" s="5" t="n">
        <f aca="false">ABS(H13)</f>
        <v>0</v>
      </c>
      <c r="J13" s="5" t="n">
        <f aca="false">IF(I13=0,1,0)</f>
        <v>1</v>
      </c>
      <c r="K13" s="5" t="n">
        <f aca="false">IF(I13&lt;=1,1,0)</f>
        <v>1</v>
      </c>
      <c r="L13" s="5" t="s">
        <v>71</v>
      </c>
      <c r="M13" s="5" t="s">
        <v>83</v>
      </c>
    </row>
    <row r="14" customFormat="false" ht="15" hidden="false" customHeight="false" outlineLevel="0" collapsed="false">
      <c r="A14" s="16" t="s">
        <v>46</v>
      </c>
      <c r="B14" s="16" t="s">
        <v>47</v>
      </c>
      <c r="C14" s="16" t="s">
        <v>84</v>
      </c>
      <c r="D14" s="16" t="s">
        <v>69</v>
      </c>
      <c r="E14" s="16" t="s">
        <v>85</v>
      </c>
      <c r="F14" s="16" t="n">
        <v>2</v>
      </c>
      <c r="G14" s="16" t="n">
        <v>0</v>
      </c>
      <c r="H14" s="16" t="n">
        <f aca="false">G14-F14</f>
        <v>-2</v>
      </c>
      <c r="I14" s="16" t="n">
        <f aca="false">ABS(H14)</f>
        <v>2</v>
      </c>
      <c r="J14" s="16" t="n">
        <f aca="false">IF(I14=0,1,0)</f>
        <v>0</v>
      </c>
      <c r="K14" s="16" t="n">
        <f aca="false">IF(I14&lt;=1,1,0)</f>
        <v>0</v>
      </c>
      <c r="L14" s="16" t="s">
        <v>76</v>
      </c>
      <c r="M14" s="16" t="s">
        <v>86</v>
      </c>
    </row>
    <row r="15" customFormat="false" ht="15" hidden="false" customHeight="false" outlineLevel="0" collapsed="false">
      <c r="A15" s="16" t="s">
        <v>46</v>
      </c>
      <c r="B15" s="16" t="s">
        <v>47</v>
      </c>
      <c r="C15" s="16" t="s">
        <v>84</v>
      </c>
      <c r="D15" s="16" t="s">
        <v>87</v>
      </c>
      <c r="E15" s="16" t="s">
        <v>88</v>
      </c>
      <c r="F15" s="16" t="n">
        <v>1</v>
      </c>
      <c r="G15" s="16" t="n">
        <v>0</v>
      </c>
      <c r="H15" s="16" t="n">
        <f aca="false">G15-F15</f>
        <v>-1</v>
      </c>
      <c r="I15" s="16" t="n">
        <f aca="false">ABS(H15)</f>
        <v>1</v>
      </c>
      <c r="J15" s="16" t="n">
        <f aca="false">IF(I15=0,1,0)</f>
        <v>0</v>
      </c>
      <c r="K15" s="16" t="n">
        <f aca="false">IF(I15&lt;=1,1,0)</f>
        <v>1</v>
      </c>
      <c r="L15" s="16" t="s">
        <v>76</v>
      </c>
      <c r="M15" s="16" t="s">
        <v>89</v>
      </c>
    </row>
    <row r="16" customFormat="false" ht="15" hidden="false" customHeight="false" outlineLevel="0" collapsed="false">
      <c r="A16" s="5" t="s">
        <v>46</v>
      </c>
      <c r="B16" s="5" t="s">
        <v>47</v>
      </c>
      <c r="C16" s="5" t="s">
        <v>84</v>
      </c>
      <c r="D16" s="5" t="s">
        <v>87</v>
      </c>
      <c r="E16" s="5" t="s">
        <v>90</v>
      </c>
      <c r="F16" s="5" t="n">
        <v>0</v>
      </c>
      <c r="G16" s="5" t="n">
        <v>0</v>
      </c>
      <c r="H16" s="5" t="n">
        <f aca="false">G16-F16</f>
        <v>0</v>
      </c>
      <c r="I16" s="5" t="n">
        <f aca="false">ABS(H16)</f>
        <v>0</v>
      </c>
      <c r="J16" s="5" t="n">
        <f aca="false">IF(I16=0,1,0)</f>
        <v>1</v>
      </c>
      <c r="K16" s="5" t="n">
        <f aca="false">IF(I16&lt;=1,1,0)</f>
        <v>1</v>
      </c>
      <c r="L16" s="5" t="s">
        <v>71</v>
      </c>
      <c r="M16" s="5" t="s">
        <v>89</v>
      </c>
    </row>
    <row r="17" customFormat="false" ht="15" hidden="false" customHeight="false" outlineLevel="0" collapsed="false">
      <c r="A17" s="5" t="s">
        <v>46</v>
      </c>
      <c r="B17" s="5" t="s">
        <v>47</v>
      </c>
      <c r="C17" s="5" t="s">
        <v>84</v>
      </c>
      <c r="D17" s="5" t="s">
        <v>87</v>
      </c>
      <c r="E17" s="5" t="s">
        <v>91</v>
      </c>
      <c r="F17" s="5" t="n">
        <v>0</v>
      </c>
      <c r="G17" s="5" t="n">
        <v>0</v>
      </c>
      <c r="H17" s="5" t="n">
        <f aca="false">G17-F17</f>
        <v>0</v>
      </c>
      <c r="I17" s="5" t="n">
        <f aca="false">ABS(H17)</f>
        <v>0</v>
      </c>
      <c r="J17" s="5" t="n">
        <f aca="false">IF(I17=0,1,0)</f>
        <v>1</v>
      </c>
      <c r="K17" s="5" t="n">
        <f aca="false">IF(I17&lt;=1,1,0)</f>
        <v>1</v>
      </c>
      <c r="L17" s="5" t="s">
        <v>71</v>
      </c>
      <c r="M17" s="5" t="s">
        <v>89</v>
      </c>
    </row>
    <row r="18" customFormat="false" ht="15" hidden="false" customHeight="false" outlineLevel="0" collapsed="false">
      <c r="A18" s="16" t="s">
        <v>46</v>
      </c>
      <c r="B18" s="16" t="s">
        <v>47</v>
      </c>
      <c r="C18" s="16" t="s">
        <v>84</v>
      </c>
      <c r="D18" s="16" t="s">
        <v>87</v>
      </c>
      <c r="E18" s="16" t="s">
        <v>92</v>
      </c>
      <c r="F18" s="16" t="n">
        <v>2</v>
      </c>
      <c r="G18" s="16" t="n">
        <v>0</v>
      </c>
      <c r="H18" s="16" t="n">
        <f aca="false">G18-F18</f>
        <v>-2</v>
      </c>
      <c r="I18" s="16" t="n">
        <f aca="false">ABS(H18)</f>
        <v>2</v>
      </c>
      <c r="J18" s="16" t="n">
        <f aca="false">IF(I18=0,1,0)</f>
        <v>0</v>
      </c>
      <c r="K18" s="16" t="n">
        <f aca="false">IF(I18&lt;=1,1,0)</f>
        <v>0</v>
      </c>
      <c r="L18" s="16" t="s">
        <v>76</v>
      </c>
      <c r="M18" s="16" t="s">
        <v>89</v>
      </c>
    </row>
    <row r="19" customFormat="false" ht="15" hidden="false" customHeight="false" outlineLevel="0" collapsed="false">
      <c r="A19" s="16" t="s">
        <v>46</v>
      </c>
      <c r="B19" s="16" t="s">
        <v>47</v>
      </c>
      <c r="C19" s="16" t="s">
        <v>84</v>
      </c>
      <c r="D19" s="16" t="s">
        <v>87</v>
      </c>
      <c r="E19" s="16" t="s">
        <v>93</v>
      </c>
      <c r="F19" s="16" t="n">
        <v>2</v>
      </c>
      <c r="G19" s="16" t="n">
        <v>1</v>
      </c>
      <c r="H19" s="16" t="n">
        <f aca="false">G19-F19</f>
        <v>-1</v>
      </c>
      <c r="I19" s="16" t="n">
        <f aca="false">ABS(H19)</f>
        <v>1</v>
      </c>
      <c r="J19" s="16" t="n">
        <f aca="false">IF(I19=0,1,0)</f>
        <v>0</v>
      </c>
      <c r="K19" s="16" t="n">
        <f aca="false">IF(I19&lt;=1,1,0)</f>
        <v>1</v>
      </c>
      <c r="L19" s="16" t="s">
        <v>76</v>
      </c>
      <c r="M19" s="16" t="s">
        <v>89</v>
      </c>
    </row>
    <row r="20" customFormat="false" ht="15" hidden="false" customHeight="false" outlineLevel="0" collapsed="false">
      <c r="A20" s="5" t="s">
        <v>46</v>
      </c>
      <c r="B20" s="5" t="s">
        <v>47</v>
      </c>
      <c r="C20" s="5" t="s">
        <v>84</v>
      </c>
      <c r="D20" s="5" t="s">
        <v>87</v>
      </c>
      <c r="E20" s="5" t="s">
        <v>94</v>
      </c>
      <c r="F20" s="5" t="n">
        <v>0</v>
      </c>
      <c r="G20" s="5" t="n">
        <v>0</v>
      </c>
      <c r="H20" s="5" t="n">
        <f aca="false">G20-F20</f>
        <v>0</v>
      </c>
      <c r="I20" s="5" t="n">
        <f aca="false">ABS(H20)</f>
        <v>0</v>
      </c>
      <c r="J20" s="5" t="n">
        <f aca="false">IF(I20=0,1,0)</f>
        <v>1</v>
      </c>
      <c r="K20" s="5" t="n">
        <f aca="false">IF(I20&lt;=1,1,0)</f>
        <v>1</v>
      </c>
      <c r="L20" s="5" t="s">
        <v>71</v>
      </c>
      <c r="M20" s="5" t="s">
        <v>89</v>
      </c>
    </row>
    <row r="21" customFormat="false" ht="15" hidden="false" customHeight="false" outlineLevel="0" collapsed="false">
      <c r="A21" s="16" t="s">
        <v>46</v>
      </c>
      <c r="B21" s="16" t="s">
        <v>47</v>
      </c>
      <c r="C21" s="16" t="s">
        <v>84</v>
      </c>
      <c r="D21" s="16" t="s">
        <v>87</v>
      </c>
      <c r="E21" s="16" t="s">
        <v>95</v>
      </c>
      <c r="F21" s="16" t="n">
        <v>2</v>
      </c>
      <c r="G21" s="16" t="n">
        <v>0</v>
      </c>
      <c r="H21" s="16" t="n">
        <f aca="false">G21-F21</f>
        <v>-2</v>
      </c>
      <c r="I21" s="16" t="n">
        <f aca="false">ABS(H21)</f>
        <v>2</v>
      </c>
      <c r="J21" s="16" t="n">
        <f aca="false">IF(I21=0,1,0)</f>
        <v>0</v>
      </c>
      <c r="K21" s="16" t="n">
        <f aca="false">IF(I21&lt;=1,1,0)</f>
        <v>0</v>
      </c>
      <c r="L21" s="16" t="s">
        <v>76</v>
      </c>
      <c r="M21" s="16" t="s">
        <v>89</v>
      </c>
    </row>
    <row r="22" customFormat="false" ht="15" hidden="false" customHeight="false" outlineLevel="0" collapsed="false">
      <c r="A22" s="16" t="s">
        <v>46</v>
      </c>
      <c r="B22" s="16" t="s">
        <v>47</v>
      </c>
      <c r="C22" s="16" t="s">
        <v>84</v>
      </c>
      <c r="D22" s="16" t="s">
        <v>96</v>
      </c>
      <c r="E22" s="16" t="s">
        <v>88</v>
      </c>
      <c r="F22" s="16" t="n">
        <v>2</v>
      </c>
      <c r="G22" s="16" t="n">
        <v>3</v>
      </c>
      <c r="H22" s="16" t="n">
        <f aca="false">G22-F22</f>
        <v>1</v>
      </c>
      <c r="I22" s="16" t="n">
        <f aca="false">ABS(H22)</f>
        <v>1</v>
      </c>
      <c r="J22" s="16" t="n">
        <f aca="false">IF(I22=0,1,0)</f>
        <v>0</v>
      </c>
      <c r="K22" s="16" t="n">
        <f aca="false">IF(I22&lt;=1,1,0)</f>
        <v>1</v>
      </c>
      <c r="L22" s="16" t="s">
        <v>76</v>
      </c>
      <c r="M22" s="16" t="s">
        <v>97</v>
      </c>
    </row>
    <row r="23" customFormat="false" ht="15" hidden="false" customHeight="false" outlineLevel="0" collapsed="false">
      <c r="A23" s="5" t="s">
        <v>46</v>
      </c>
      <c r="B23" s="5" t="s">
        <v>47</v>
      </c>
      <c r="C23" s="5" t="s">
        <v>84</v>
      </c>
      <c r="D23" s="5" t="s">
        <v>96</v>
      </c>
      <c r="E23" s="5" t="s">
        <v>98</v>
      </c>
      <c r="F23" s="5" t="n">
        <v>0</v>
      </c>
      <c r="G23" s="5" t="n">
        <v>0</v>
      </c>
      <c r="H23" s="5" t="n">
        <f aca="false">G23-F23</f>
        <v>0</v>
      </c>
      <c r="I23" s="5" t="n">
        <f aca="false">ABS(H23)</f>
        <v>0</v>
      </c>
      <c r="J23" s="5" t="n">
        <f aca="false">IF(I23=0,1,0)</f>
        <v>1</v>
      </c>
      <c r="K23" s="5" t="n">
        <f aca="false">IF(I23&lt;=1,1,0)</f>
        <v>1</v>
      </c>
      <c r="L23" s="5" t="s">
        <v>71</v>
      </c>
      <c r="M23" s="5" t="s">
        <v>97</v>
      </c>
    </row>
    <row r="24" customFormat="false" ht="15" hidden="false" customHeight="false" outlineLevel="0" collapsed="false">
      <c r="A24" s="5" t="s">
        <v>46</v>
      </c>
      <c r="B24" s="5" t="s">
        <v>47</v>
      </c>
      <c r="C24" s="5" t="s">
        <v>84</v>
      </c>
      <c r="D24" s="5" t="s">
        <v>96</v>
      </c>
      <c r="E24" s="5" t="s">
        <v>99</v>
      </c>
      <c r="F24" s="5" t="n">
        <v>2</v>
      </c>
      <c r="G24" s="5" t="n">
        <v>2</v>
      </c>
      <c r="H24" s="5" t="n">
        <f aca="false">G24-F24</f>
        <v>0</v>
      </c>
      <c r="I24" s="5" t="n">
        <f aca="false">ABS(H24)</f>
        <v>0</v>
      </c>
      <c r="J24" s="5" t="n">
        <f aca="false">IF(I24=0,1,0)</f>
        <v>1</v>
      </c>
      <c r="K24" s="5" t="n">
        <f aca="false">IF(I24&lt;=1,1,0)</f>
        <v>1</v>
      </c>
      <c r="L24" s="5" t="s">
        <v>71</v>
      </c>
      <c r="M24" s="5" t="s">
        <v>97</v>
      </c>
    </row>
    <row r="25" customFormat="false" ht="15" hidden="false" customHeight="false" outlineLevel="0" collapsed="false">
      <c r="A25" s="5" t="s">
        <v>46</v>
      </c>
      <c r="B25" s="5" t="s">
        <v>47</v>
      </c>
      <c r="C25" s="5" t="s">
        <v>84</v>
      </c>
      <c r="D25" s="5" t="s">
        <v>96</v>
      </c>
      <c r="E25" s="5" t="s">
        <v>93</v>
      </c>
      <c r="F25" s="5" t="n">
        <v>3</v>
      </c>
      <c r="G25" s="5" t="n">
        <v>3</v>
      </c>
      <c r="H25" s="5" t="n">
        <f aca="false">G25-F25</f>
        <v>0</v>
      </c>
      <c r="I25" s="5" t="n">
        <f aca="false">ABS(H25)</f>
        <v>0</v>
      </c>
      <c r="J25" s="5" t="n">
        <f aca="false">IF(I25=0,1,0)</f>
        <v>1</v>
      </c>
      <c r="K25" s="5" t="n">
        <f aca="false">IF(I25&lt;=1,1,0)</f>
        <v>1</v>
      </c>
      <c r="L25" s="5" t="s">
        <v>71</v>
      </c>
      <c r="M25" s="5" t="s">
        <v>97</v>
      </c>
    </row>
    <row r="26" customFormat="false" ht="15" hidden="false" customHeight="false" outlineLevel="0" collapsed="false">
      <c r="A26" s="5" t="s">
        <v>46</v>
      </c>
      <c r="B26" s="5" t="s">
        <v>47</v>
      </c>
      <c r="C26" s="5" t="s">
        <v>84</v>
      </c>
      <c r="D26" s="5" t="s">
        <v>96</v>
      </c>
      <c r="E26" s="5" t="s">
        <v>95</v>
      </c>
      <c r="F26" s="5" t="n">
        <v>3</v>
      </c>
      <c r="G26" s="5" t="n">
        <v>3</v>
      </c>
      <c r="H26" s="5" t="n">
        <f aca="false">G26-F26</f>
        <v>0</v>
      </c>
      <c r="I26" s="5" t="n">
        <f aca="false">ABS(H26)</f>
        <v>0</v>
      </c>
      <c r="J26" s="5" t="n">
        <f aca="false">IF(I26=0,1,0)</f>
        <v>1</v>
      </c>
      <c r="K26" s="5" t="n">
        <f aca="false">IF(I26&lt;=1,1,0)</f>
        <v>1</v>
      </c>
      <c r="L26" s="5" t="s">
        <v>71</v>
      </c>
      <c r="M26" s="5" t="s">
        <v>97</v>
      </c>
    </row>
    <row r="27" customFormat="false" ht="15" hidden="false" customHeight="false" outlineLevel="0" collapsed="false">
      <c r="A27" s="5" t="s">
        <v>46</v>
      </c>
      <c r="B27" s="5" t="s">
        <v>47</v>
      </c>
      <c r="C27" s="5" t="s">
        <v>100</v>
      </c>
      <c r="D27" s="5" t="s">
        <v>69</v>
      </c>
      <c r="E27" s="5" t="s">
        <v>101</v>
      </c>
      <c r="F27" s="5" t="n">
        <v>0</v>
      </c>
      <c r="G27" s="5" t="n">
        <v>0</v>
      </c>
      <c r="H27" s="5" t="n">
        <f aca="false">G27-F27</f>
        <v>0</v>
      </c>
      <c r="I27" s="5" t="n">
        <f aca="false">ABS(H27)</f>
        <v>0</v>
      </c>
      <c r="J27" s="5" t="n">
        <f aca="false">IF(I27=0,1,0)</f>
        <v>1</v>
      </c>
      <c r="K27" s="5" t="n">
        <f aca="false">IF(I27&lt;=1,1,0)</f>
        <v>1</v>
      </c>
      <c r="L27" s="5" t="s">
        <v>71</v>
      </c>
      <c r="M27" s="5" t="s">
        <v>102</v>
      </c>
    </row>
    <row r="28" customFormat="false" ht="15" hidden="false" customHeight="false" outlineLevel="0" collapsed="false">
      <c r="A28" s="16" t="s">
        <v>46</v>
      </c>
      <c r="B28" s="16" t="s">
        <v>47</v>
      </c>
      <c r="C28" s="16" t="s">
        <v>100</v>
      </c>
      <c r="D28" s="16" t="s">
        <v>69</v>
      </c>
      <c r="E28" s="16" t="s">
        <v>103</v>
      </c>
      <c r="F28" s="16" t="n">
        <v>0</v>
      </c>
      <c r="G28" s="16" t="n">
        <v>2</v>
      </c>
      <c r="H28" s="16" t="n">
        <f aca="false">G28-F28</f>
        <v>2</v>
      </c>
      <c r="I28" s="16" t="n">
        <f aca="false">ABS(H28)</f>
        <v>2</v>
      </c>
      <c r="J28" s="16" t="n">
        <f aca="false">IF(I28=0,1,0)</f>
        <v>0</v>
      </c>
      <c r="K28" s="16" t="n">
        <f aca="false">IF(I28&lt;=1,1,0)</f>
        <v>0</v>
      </c>
      <c r="L28" s="16" t="s">
        <v>76</v>
      </c>
      <c r="M28" s="16" t="s">
        <v>102</v>
      </c>
    </row>
    <row r="29" customFormat="false" ht="15" hidden="false" customHeight="false" outlineLevel="0" collapsed="false">
      <c r="A29" s="5" t="s">
        <v>46</v>
      </c>
      <c r="B29" s="5" t="s">
        <v>47</v>
      </c>
      <c r="C29" s="5" t="s">
        <v>100</v>
      </c>
      <c r="D29" s="5" t="s">
        <v>69</v>
      </c>
      <c r="E29" s="5" t="s">
        <v>104</v>
      </c>
      <c r="F29" s="5" t="n">
        <v>2</v>
      </c>
      <c r="G29" s="5" t="n">
        <v>2</v>
      </c>
      <c r="H29" s="5" t="n">
        <f aca="false">G29-F29</f>
        <v>0</v>
      </c>
      <c r="I29" s="5" t="n">
        <f aca="false">ABS(H29)</f>
        <v>0</v>
      </c>
      <c r="J29" s="5" t="n">
        <f aca="false">IF(I29=0,1,0)</f>
        <v>1</v>
      </c>
      <c r="K29" s="5" t="n">
        <f aca="false">IF(I29&lt;=1,1,0)</f>
        <v>1</v>
      </c>
      <c r="L29" s="5" t="s">
        <v>71</v>
      </c>
      <c r="M29" s="5" t="s">
        <v>102</v>
      </c>
    </row>
    <row r="30" customFormat="false" ht="15" hidden="false" customHeight="false" outlineLevel="0" collapsed="false">
      <c r="A30" s="16" t="s">
        <v>46</v>
      </c>
      <c r="B30" s="16" t="s">
        <v>47</v>
      </c>
      <c r="C30" s="16" t="s">
        <v>100</v>
      </c>
      <c r="D30" s="16" t="s">
        <v>69</v>
      </c>
      <c r="E30" s="16" t="s">
        <v>105</v>
      </c>
      <c r="F30" s="16" t="n">
        <v>1</v>
      </c>
      <c r="G30" s="16" t="n">
        <v>2</v>
      </c>
      <c r="H30" s="16" t="n">
        <f aca="false">G30-F30</f>
        <v>1</v>
      </c>
      <c r="I30" s="16" t="n">
        <f aca="false">ABS(H30)</f>
        <v>1</v>
      </c>
      <c r="J30" s="16" t="n">
        <f aca="false">IF(I30=0,1,0)</f>
        <v>0</v>
      </c>
      <c r="K30" s="16" t="n">
        <f aca="false">IF(I30&lt;=1,1,0)</f>
        <v>1</v>
      </c>
      <c r="L30" s="16" t="s">
        <v>76</v>
      </c>
      <c r="M30" s="16" t="s">
        <v>102</v>
      </c>
    </row>
    <row r="31" customFormat="false" ht="15" hidden="false" customHeight="false" outlineLevel="0" collapsed="false">
      <c r="A31" s="5" t="s">
        <v>46</v>
      </c>
      <c r="B31" s="5" t="s">
        <v>47</v>
      </c>
      <c r="C31" s="5" t="s">
        <v>100</v>
      </c>
      <c r="D31" s="5" t="s">
        <v>69</v>
      </c>
      <c r="E31" s="5" t="s">
        <v>106</v>
      </c>
      <c r="F31" s="5" t="n">
        <v>3</v>
      </c>
      <c r="G31" s="5" t="n">
        <v>3</v>
      </c>
      <c r="H31" s="5" t="n">
        <f aca="false">G31-F31</f>
        <v>0</v>
      </c>
      <c r="I31" s="5" t="n">
        <f aca="false">ABS(H31)</f>
        <v>0</v>
      </c>
      <c r="J31" s="5" t="n">
        <f aca="false">IF(I31=0,1,0)</f>
        <v>1</v>
      </c>
      <c r="K31" s="5" t="n">
        <f aca="false">IF(I31&lt;=1,1,0)</f>
        <v>1</v>
      </c>
      <c r="L31" s="5" t="s">
        <v>71</v>
      </c>
      <c r="M31" s="5" t="s">
        <v>102</v>
      </c>
    </row>
    <row r="32" customFormat="false" ht="15" hidden="false" customHeight="false" outlineLevel="0" collapsed="false">
      <c r="A32" s="16" t="s">
        <v>46</v>
      </c>
      <c r="B32" s="16" t="s">
        <v>47</v>
      </c>
      <c r="C32" s="16" t="s">
        <v>100</v>
      </c>
      <c r="D32" s="16" t="s">
        <v>107</v>
      </c>
      <c r="E32" s="16" t="s">
        <v>108</v>
      </c>
      <c r="F32" s="16" t="n">
        <v>1</v>
      </c>
      <c r="G32" s="16" t="n">
        <v>2</v>
      </c>
      <c r="H32" s="16" t="n">
        <f aca="false">G32-F32</f>
        <v>1</v>
      </c>
      <c r="I32" s="16" t="n">
        <f aca="false">ABS(H32)</f>
        <v>1</v>
      </c>
      <c r="J32" s="16" t="n">
        <f aca="false">IF(I32=0,1,0)</f>
        <v>0</v>
      </c>
      <c r="K32" s="16" t="n">
        <f aca="false">IF(I32&lt;=1,1,0)</f>
        <v>1</v>
      </c>
      <c r="L32" s="16" t="s">
        <v>76</v>
      </c>
      <c r="M32" s="16" t="s">
        <v>109</v>
      </c>
    </row>
    <row r="33" customFormat="false" ht="15" hidden="false" customHeight="false" outlineLevel="0" collapsed="false">
      <c r="A33" s="5" t="s">
        <v>46</v>
      </c>
      <c r="B33" s="5" t="s">
        <v>47</v>
      </c>
      <c r="C33" s="5" t="s">
        <v>100</v>
      </c>
      <c r="D33" s="5" t="s">
        <v>107</v>
      </c>
      <c r="E33" s="5" t="s">
        <v>110</v>
      </c>
      <c r="F33" s="5" t="n">
        <v>3</v>
      </c>
      <c r="G33" s="5" t="n">
        <v>3</v>
      </c>
      <c r="H33" s="5" t="n">
        <f aca="false">G33-F33</f>
        <v>0</v>
      </c>
      <c r="I33" s="5" t="n">
        <f aca="false">ABS(H33)</f>
        <v>0</v>
      </c>
      <c r="J33" s="5" t="n">
        <f aca="false">IF(I33=0,1,0)</f>
        <v>1</v>
      </c>
      <c r="K33" s="5" t="n">
        <f aca="false">IF(I33&lt;=1,1,0)</f>
        <v>1</v>
      </c>
      <c r="L33" s="5" t="s">
        <v>71</v>
      </c>
      <c r="M33" s="5" t="s">
        <v>109</v>
      </c>
    </row>
    <row r="34" customFormat="false" ht="15" hidden="false" customHeight="false" outlineLevel="0" collapsed="false">
      <c r="A34" s="16" t="s">
        <v>46</v>
      </c>
      <c r="B34" s="16" t="s">
        <v>47</v>
      </c>
      <c r="C34" s="16" t="s">
        <v>100</v>
      </c>
      <c r="D34" s="16" t="s">
        <v>107</v>
      </c>
      <c r="E34" s="16" t="s">
        <v>111</v>
      </c>
      <c r="F34" s="16" t="n">
        <v>1</v>
      </c>
      <c r="G34" s="16" t="n">
        <v>2</v>
      </c>
      <c r="H34" s="16" t="n">
        <f aca="false">G34-F34</f>
        <v>1</v>
      </c>
      <c r="I34" s="16" t="n">
        <f aca="false">ABS(H34)</f>
        <v>1</v>
      </c>
      <c r="J34" s="16" t="n">
        <f aca="false">IF(I34=0,1,0)</f>
        <v>0</v>
      </c>
      <c r="K34" s="16" t="n">
        <f aca="false">IF(I34&lt;=1,1,0)</f>
        <v>1</v>
      </c>
      <c r="L34" s="16" t="s">
        <v>76</v>
      </c>
      <c r="M34" s="16" t="s">
        <v>109</v>
      </c>
    </row>
    <row r="35" customFormat="false" ht="15" hidden="false" customHeight="false" outlineLevel="0" collapsed="false">
      <c r="A35" s="5" t="s">
        <v>46</v>
      </c>
      <c r="B35" s="5" t="s">
        <v>47</v>
      </c>
      <c r="C35" s="5" t="s">
        <v>100</v>
      </c>
      <c r="D35" s="5" t="s">
        <v>107</v>
      </c>
      <c r="E35" s="5" t="s">
        <v>112</v>
      </c>
      <c r="F35" s="5" t="n">
        <v>1</v>
      </c>
      <c r="G35" s="5" t="n">
        <v>1</v>
      </c>
      <c r="H35" s="5" t="n">
        <f aca="false">G35-F35</f>
        <v>0</v>
      </c>
      <c r="I35" s="5" t="n">
        <f aca="false">ABS(H35)</f>
        <v>0</v>
      </c>
      <c r="J35" s="5" t="n">
        <f aca="false">IF(I35=0,1,0)</f>
        <v>1</v>
      </c>
      <c r="K35" s="5" t="n">
        <f aca="false">IF(I35&lt;=1,1,0)</f>
        <v>1</v>
      </c>
      <c r="L35" s="5" t="s">
        <v>71</v>
      </c>
      <c r="M35" s="5" t="s">
        <v>109</v>
      </c>
    </row>
    <row r="36" customFormat="false" ht="15" hidden="false" customHeight="false" outlineLevel="0" collapsed="false">
      <c r="A36" s="16" t="s">
        <v>46</v>
      </c>
      <c r="B36" s="16" t="s">
        <v>47</v>
      </c>
      <c r="C36" s="16" t="s">
        <v>100</v>
      </c>
      <c r="D36" s="16" t="s">
        <v>107</v>
      </c>
      <c r="E36" s="16" t="s">
        <v>113</v>
      </c>
      <c r="F36" s="16" t="n">
        <v>1</v>
      </c>
      <c r="G36" s="16" t="n">
        <v>2</v>
      </c>
      <c r="H36" s="16" t="n">
        <f aca="false">G36-F36</f>
        <v>1</v>
      </c>
      <c r="I36" s="16" t="n">
        <f aca="false">ABS(H36)</f>
        <v>1</v>
      </c>
      <c r="J36" s="16" t="n">
        <f aca="false">IF(I36=0,1,0)</f>
        <v>0</v>
      </c>
      <c r="K36" s="16" t="n">
        <f aca="false">IF(I36&lt;=1,1,0)</f>
        <v>1</v>
      </c>
      <c r="L36" s="16" t="s">
        <v>76</v>
      </c>
      <c r="M36" s="16" t="s">
        <v>109</v>
      </c>
    </row>
    <row r="37" customFormat="false" ht="15" hidden="false" customHeight="false" outlineLevel="0" collapsed="false">
      <c r="A37" s="5" t="s">
        <v>46</v>
      </c>
      <c r="B37" s="5" t="s">
        <v>47</v>
      </c>
      <c r="C37" s="5" t="s">
        <v>100</v>
      </c>
      <c r="D37" s="5" t="s">
        <v>114</v>
      </c>
      <c r="E37" s="5" t="s">
        <v>108</v>
      </c>
      <c r="F37" s="5" t="n">
        <v>3</v>
      </c>
      <c r="G37" s="5" t="n">
        <v>3</v>
      </c>
      <c r="H37" s="5" t="n">
        <f aca="false">G37-F37</f>
        <v>0</v>
      </c>
      <c r="I37" s="5" t="n">
        <f aca="false">ABS(H37)</f>
        <v>0</v>
      </c>
      <c r="J37" s="5" t="n">
        <f aca="false">IF(I37=0,1,0)</f>
        <v>1</v>
      </c>
      <c r="K37" s="5" t="n">
        <f aca="false">IF(I37&lt;=1,1,0)</f>
        <v>1</v>
      </c>
      <c r="L37" s="5" t="s">
        <v>71</v>
      </c>
      <c r="M37" s="5" t="s">
        <v>115</v>
      </c>
    </row>
    <row r="38" customFormat="false" ht="15" hidden="false" customHeight="false" outlineLevel="0" collapsed="false">
      <c r="A38" s="5" t="s">
        <v>46</v>
      </c>
      <c r="B38" s="5" t="s">
        <v>47</v>
      </c>
      <c r="C38" s="5" t="s">
        <v>100</v>
      </c>
      <c r="D38" s="5" t="s">
        <v>114</v>
      </c>
      <c r="E38" s="5" t="s">
        <v>110</v>
      </c>
      <c r="F38" s="5" t="n">
        <v>0</v>
      </c>
      <c r="G38" s="5" t="n">
        <v>0</v>
      </c>
      <c r="H38" s="5" t="n">
        <f aca="false">G38-F38</f>
        <v>0</v>
      </c>
      <c r="I38" s="5" t="n">
        <f aca="false">ABS(H38)</f>
        <v>0</v>
      </c>
      <c r="J38" s="5" t="n">
        <f aca="false">IF(I38=0,1,0)</f>
        <v>1</v>
      </c>
      <c r="K38" s="5" t="n">
        <f aca="false">IF(I38&lt;=1,1,0)</f>
        <v>1</v>
      </c>
      <c r="L38" s="5" t="s">
        <v>71</v>
      </c>
      <c r="M38" s="5" t="s">
        <v>115</v>
      </c>
    </row>
    <row r="39" customFormat="false" ht="15" hidden="false" customHeight="false" outlineLevel="0" collapsed="false">
      <c r="A39" s="5" t="s">
        <v>46</v>
      </c>
      <c r="B39" s="5" t="s">
        <v>47</v>
      </c>
      <c r="C39" s="5" t="s">
        <v>100</v>
      </c>
      <c r="D39" s="5" t="s">
        <v>114</v>
      </c>
      <c r="E39" s="5" t="s">
        <v>111</v>
      </c>
      <c r="F39" s="5" t="n">
        <v>3</v>
      </c>
      <c r="G39" s="5" t="n">
        <v>3</v>
      </c>
      <c r="H39" s="5" t="n">
        <f aca="false">G39-F39</f>
        <v>0</v>
      </c>
      <c r="I39" s="5" t="n">
        <f aca="false">ABS(H39)</f>
        <v>0</v>
      </c>
      <c r="J39" s="5" t="n">
        <f aca="false">IF(I39=0,1,0)</f>
        <v>1</v>
      </c>
      <c r="K39" s="5" t="n">
        <f aca="false">IF(I39&lt;=1,1,0)</f>
        <v>1</v>
      </c>
      <c r="L39" s="5" t="s">
        <v>71</v>
      </c>
      <c r="M39" s="5" t="s">
        <v>115</v>
      </c>
    </row>
    <row r="40" customFormat="false" ht="15" hidden="false" customHeight="false" outlineLevel="0" collapsed="false">
      <c r="A40" s="5" t="s">
        <v>46</v>
      </c>
      <c r="B40" s="5" t="s">
        <v>47</v>
      </c>
      <c r="C40" s="5" t="s">
        <v>100</v>
      </c>
      <c r="D40" s="5" t="s">
        <v>114</v>
      </c>
      <c r="E40" s="5" t="s">
        <v>112</v>
      </c>
      <c r="F40" s="5" t="n">
        <v>0</v>
      </c>
      <c r="G40" s="5" t="n">
        <v>0</v>
      </c>
      <c r="H40" s="5" t="n">
        <f aca="false">G40-F40</f>
        <v>0</v>
      </c>
      <c r="I40" s="5" t="n">
        <f aca="false">ABS(H40)</f>
        <v>0</v>
      </c>
      <c r="J40" s="5" t="n">
        <f aca="false">IF(I40=0,1,0)</f>
        <v>1</v>
      </c>
      <c r="K40" s="5" t="n">
        <f aca="false">IF(I40&lt;=1,1,0)</f>
        <v>1</v>
      </c>
      <c r="L40" s="5" t="s">
        <v>71</v>
      </c>
      <c r="M40" s="5" t="s">
        <v>115</v>
      </c>
    </row>
    <row r="41" customFormat="false" ht="15" hidden="false" customHeight="false" outlineLevel="0" collapsed="false">
      <c r="A41" s="5" t="s">
        <v>46</v>
      </c>
      <c r="B41" s="5" t="s">
        <v>47</v>
      </c>
      <c r="C41" s="5" t="s">
        <v>100</v>
      </c>
      <c r="D41" s="5" t="s">
        <v>114</v>
      </c>
      <c r="E41" s="5" t="s">
        <v>113</v>
      </c>
      <c r="F41" s="5" t="n">
        <v>3</v>
      </c>
      <c r="G41" s="5" t="n">
        <v>3</v>
      </c>
      <c r="H41" s="5" t="n">
        <f aca="false">G41-F41</f>
        <v>0</v>
      </c>
      <c r="I41" s="5" t="n">
        <f aca="false">ABS(H41)</f>
        <v>0</v>
      </c>
      <c r="J41" s="5" t="n">
        <f aca="false">IF(I41=0,1,0)</f>
        <v>1</v>
      </c>
      <c r="K41" s="5" t="n">
        <f aca="false">IF(I41&lt;=1,1,0)</f>
        <v>1</v>
      </c>
      <c r="L41" s="5" t="s">
        <v>71</v>
      </c>
      <c r="M41" s="5" t="s">
        <v>115</v>
      </c>
    </row>
    <row r="42" customFormat="false" ht="15" hidden="false" customHeight="false" outlineLevel="0" collapsed="false">
      <c r="A42" s="5" t="s">
        <v>46</v>
      </c>
      <c r="B42" s="5" t="s">
        <v>47</v>
      </c>
      <c r="C42" s="5" t="s">
        <v>116</v>
      </c>
      <c r="D42" s="5" t="s">
        <v>69</v>
      </c>
      <c r="E42" s="5" t="s">
        <v>117</v>
      </c>
      <c r="F42" s="5" t="n">
        <v>3</v>
      </c>
      <c r="G42" s="5" t="n">
        <v>3</v>
      </c>
      <c r="H42" s="5" t="n">
        <f aca="false">G42-F42</f>
        <v>0</v>
      </c>
      <c r="I42" s="5" t="n">
        <f aca="false">ABS(H42)</f>
        <v>0</v>
      </c>
      <c r="J42" s="5" t="n">
        <f aca="false">IF(I42=0,1,0)</f>
        <v>1</v>
      </c>
      <c r="K42" s="5" t="n">
        <f aca="false">IF(I42&lt;=1,1,0)</f>
        <v>1</v>
      </c>
      <c r="L42" s="5" t="s">
        <v>71</v>
      </c>
      <c r="M42" s="5" t="s">
        <v>118</v>
      </c>
    </row>
    <row r="43" customFormat="false" ht="15" hidden="false" customHeight="false" outlineLevel="0" collapsed="false">
      <c r="A43" s="5" t="s">
        <v>46</v>
      </c>
      <c r="B43" s="5" t="s">
        <v>47</v>
      </c>
      <c r="C43" s="5" t="s">
        <v>116</v>
      </c>
      <c r="D43" s="5" t="s">
        <v>69</v>
      </c>
      <c r="E43" s="5" t="s">
        <v>119</v>
      </c>
      <c r="F43" s="5" t="n">
        <v>3</v>
      </c>
      <c r="G43" s="5" t="n">
        <v>3</v>
      </c>
      <c r="H43" s="5" t="n">
        <f aca="false">G43-F43</f>
        <v>0</v>
      </c>
      <c r="I43" s="5" t="n">
        <f aca="false">ABS(H43)</f>
        <v>0</v>
      </c>
      <c r="J43" s="5" t="n">
        <f aca="false">IF(I43=0,1,0)</f>
        <v>1</v>
      </c>
      <c r="K43" s="5" t="n">
        <f aca="false">IF(I43&lt;=1,1,0)</f>
        <v>1</v>
      </c>
      <c r="L43" s="5" t="s">
        <v>71</v>
      </c>
      <c r="M43" s="5" t="s">
        <v>118</v>
      </c>
    </row>
    <row r="44" customFormat="false" ht="15" hidden="false" customHeight="false" outlineLevel="0" collapsed="false">
      <c r="A44" s="5" t="s">
        <v>46</v>
      </c>
      <c r="B44" s="5" t="s">
        <v>47</v>
      </c>
      <c r="C44" s="5" t="s">
        <v>116</v>
      </c>
      <c r="D44" s="5" t="s">
        <v>69</v>
      </c>
      <c r="E44" s="5" t="s">
        <v>120</v>
      </c>
      <c r="F44" s="5" t="n">
        <v>2</v>
      </c>
      <c r="G44" s="5" t="n">
        <v>2</v>
      </c>
      <c r="H44" s="5" t="n">
        <f aca="false">G44-F44</f>
        <v>0</v>
      </c>
      <c r="I44" s="5" t="n">
        <f aca="false">ABS(H44)</f>
        <v>0</v>
      </c>
      <c r="J44" s="5" t="n">
        <f aca="false">IF(I44=0,1,0)</f>
        <v>1</v>
      </c>
      <c r="K44" s="5" t="n">
        <f aca="false">IF(I44&lt;=1,1,0)</f>
        <v>1</v>
      </c>
      <c r="L44" s="5" t="s">
        <v>71</v>
      </c>
      <c r="M44" s="5" t="s">
        <v>118</v>
      </c>
    </row>
    <row r="45" customFormat="false" ht="15" hidden="false" customHeight="false" outlineLevel="0" collapsed="false">
      <c r="A45" s="5" t="s">
        <v>46</v>
      </c>
      <c r="B45" s="5" t="s">
        <v>47</v>
      </c>
      <c r="C45" s="5" t="s">
        <v>116</v>
      </c>
      <c r="D45" s="5" t="s">
        <v>69</v>
      </c>
      <c r="E45" s="5" t="s">
        <v>121</v>
      </c>
      <c r="F45" s="5" t="n">
        <v>3</v>
      </c>
      <c r="G45" s="5" t="n">
        <v>3</v>
      </c>
      <c r="H45" s="5" t="n">
        <f aca="false">G45-F45</f>
        <v>0</v>
      </c>
      <c r="I45" s="5" t="n">
        <f aca="false">ABS(H45)</f>
        <v>0</v>
      </c>
      <c r="J45" s="5" t="n">
        <f aca="false">IF(I45=0,1,0)</f>
        <v>1</v>
      </c>
      <c r="K45" s="5" t="n">
        <f aca="false">IF(I45&lt;=1,1,0)</f>
        <v>1</v>
      </c>
      <c r="L45" s="5" t="s">
        <v>71</v>
      </c>
      <c r="M45" s="5" t="s">
        <v>118</v>
      </c>
    </row>
    <row r="46" customFormat="false" ht="15" hidden="false" customHeight="false" outlineLevel="0" collapsed="false">
      <c r="A46" s="5" t="s">
        <v>46</v>
      </c>
      <c r="B46" s="5" t="s">
        <v>47</v>
      </c>
      <c r="C46" s="5" t="s">
        <v>116</v>
      </c>
      <c r="D46" s="5" t="s">
        <v>69</v>
      </c>
      <c r="E46" s="5" t="s">
        <v>122</v>
      </c>
      <c r="F46" s="5" t="n">
        <v>3</v>
      </c>
      <c r="G46" s="5" t="n">
        <v>3</v>
      </c>
      <c r="H46" s="5" t="n">
        <f aca="false">G46-F46</f>
        <v>0</v>
      </c>
      <c r="I46" s="5" t="n">
        <f aca="false">ABS(H46)</f>
        <v>0</v>
      </c>
      <c r="J46" s="5" t="n">
        <f aca="false">IF(I46=0,1,0)</f>
        <v>1</v>
      </c>
      <c r="K46" s="5" t="n">
        <f aca="false">IF(I46&lt;=1,1,0)</f>
        <v>1</v>
      </c>
      <c r="L46" s="5" t="s">
        <v>71</v>
      </c>
      <c r="M46" s="5" t="s">
        <v>118</v>
      </c>
    </row>
    <row r="47" customFormat="false" ht="15" hidden="false" customHeight="false" outlineLevel="0" collapsed="false">
      <c r="A47" s="16" t="s">
        <v>46</v>
      </c>
      <c r="B47" s="16" t="s">
        <v>47</v>
      </c>
      <c r="C47" s="16" t="s">
        <v>116</v>
      </c>
      <c r="D47" s="16" t="s">
        <v>114</v>
      </c>
      <c r="E47" s="16" t="s">
        <v>123</v>
      </c>
      <c r="F47" s="16" t="n">
        <v>2</v>
      </c>
      <c r="G47" s="16" t="n">
        <v>3</v>
      </c>
      <c r="H47" s="16" t="n">
        <f aca="false">G47-F47</f>
        <v>1</v>
      </c>
      <c r="I47" s="16" t="n">
        <f aca="false">ABS(H47)</f>
        <v>1</v>
      </c>
      <c r="J47" s="16" t="n">
        <f aca="false">IF(I47=0,1,0)</f>
        <v>0</v>
      </c>
      <c r="K47" s="16" t="n">
        <f aca="false">IF(I47&lt;=1,1,0)</f>
        <v>1</v>
      </c>
      <c r="L47" s="16" t="s">
        <v>76</v>
      </c>
      <c r="M47" s="16" t="s">
        <v>124</v>
      </c>
    </row>
    <row r="48" customFormat="false" ht="15" hidden="false" customHeight="false" outlineLevel="0" collapsed="false">
      <c r="A48" s="5" t="s">
        <v>46</v>
      </c>
      <c r="B48" s="5" t="s">
        <v>47</v>
      </c>
      <c r="C48" s="5" t="s">
        <v>116</v>
      </c>
      <c r="D48" s="5" t="s">
        <v>114</v>
      </c>
      <c r="E48" s="5" t="s">
        <v>125</v>
      </c>
      <c r="F48" s="5" t="n">
        <v>2</v>
      </c>
      <c r="G48" s="5" t="n">
        <v>2</v>
      </c>
      <c r="H48" s="5" t="n">
        <f aca="false">G48-F48</f>
        <v>0</v>
      </c>
      <c r="I48" s="5" t="n">
        <f aca="false">ABS(H48)</f>
        <v>0</v>
      </c>
      <c r="J48" s="5" t="n">
        <f aca="false">IF(I48=0,1,0)</f>
        <v>1</v>
      </c>
      <c r="K48" s="5" t="n">
        <f aca="false">IF(I48&lt;=1,1,0)</f>
        <v>1</v>
      </c>
      <c r="L48" s="5" t="s">
        <v>71</v>
      </c>
      <c r="M48" s="5" t="s">
        <v>124</v>
      </c>
    </row>
    <row r="49" customFormat="false" ht="15" hidden="false" customHeight="false" outlineLevel="0" collapsed="false">
      <c r="A49" s="5" t="s">
        <v>46</v>
      </c>
      <c r="B49" s="5" t="s">
        <v>47</v>
      </c>
      <c r="C49" s="5" t="s">
        <v>116</v>
      </c>
      <c r="D49" s="5" t="s">
        <v>114</v>
      </c>
      <c r="E49" s="5" t="s">
        <v>126</v>
      </c>
      <c r="F49" s="5" t="n">
        <v>1</v>
      </c>
      <c r="G49" s="5" t="n">
        <v>1</v>
      </c>
      <c r="H49" s="5" t="n">
        <f aca="false">G49-F49</f>
        <v>0</v>
      </c>
      <c r="I49" s="5" t="n">
        <f aca="false">ABS(H49)</f>
        <v>0</v>
      </c>
      <c r="J49" s="5" t="n">
        <f aca="false">IF(I49=0,1,0)</f>
        <v>1</v>
      </c>
      <c r="K49" s="5" t="n">
        <f aca="false">IF(I49&lt;=1,1,0)</f>
        <v>1</v>
      </c>
      <c r="L49" s="5" t="s">
        <v>71</v>
      </c>
      <c r="M49" s="5" t="s">
        <v>124</v>
      </c>
    </row>
    <row r="50" customFormat="false" ht="15" hidden="false" customHeight="false" outlineLevel="0" collapsed="false">
      <c r="A50" s="5" t="s">
        <v>46</v>
      </c>
      <c r="B50" s="5" t="s">
        <v>47</v>
      </c>
      <c r="C50" s="5" t="s">
        <v>116</v>
      </c>
      <c r="D50" s="5" t="s">
        <v>114</v>
      </c>
      <c r="E50" s="5" t="s">
        <v>127</v>
      </c>
      <c r="F50" s="5" t="n">
        <v>3</v>
      </c>
      <c r="G50" s="5" t="n">
        <v>3</v>
      </c>
      <c r="H50" s="5" t="n">
        <f aca="false">G50-F50</f>
        <v>0</v>
      </c>
      <c r="I50" s="5" t="n">
        <f aca="false">ABS(H50)</f>
        <v>0</v>
      </c>
      <c r="J50" s="5" t="n">
        <f aca="false">IF(I50=0,1,0)</f>
        <v>1</v>
      </c>
      <c r="K50" s="5" t="n">
        <f aca="false">IF(I50&lt;=1,1,0)</f>
        <v>1</v>
      </c>
      <c r="L50" s="5" t="s">
        <v>71</v>
      </c>
      <c r="M50" s="5" t="s">
        <v>124</v>
      </c>
    </row>
    <row r="51" customFormat="false" ht="15" hidden="false" customHeight="false" outlineLevel="0" collapsed="false">
      <c r="A51" s="16" t="s">
        <v>46</v>
      </c>
      <c r="B51" s="16" t="s">
        <v>47</v>
      </c>
      <c r="C51" s="16" t="s">
        <v>116</v>
      </c>
      <c r="D51" s="16" t="s">
        <v>114</v>
      </c>
      <c r="E51" s="16" t="s">
        <v>128</v>
      </c>
      <c r="F51" s="16" t="n">
        <v>1</v>
      </c>
      <c r="G51" s="16" t="n">
        <v>2</v>
      </c>
      <c r="H51" s="16" t="n">
        <f aca="false">G51-F51</f>
        <v>1</v>
      </c>
      <c r="I51" s="16" t="n">
        <f aca="false">ABS(H51)</f>
        <v>1</v>
      </c>
      <c r="J51" s="16" t="n">
        <f aca="false">IF(I51=0,1,0)</f>
        <v>0</v>
      </c>
      <c r="K51" s="16" t="n">
        <f aca="false">IF(I51&lt;=1,1,0)</f>
        <v>1</v>
      </c>
      <c r="L51" s="16" t="s">
        <v>76</v>
      </c>
      <c r="M51" s="16" t="s">
        <v>124</v>
      </c>
    </row>
    <row r="52" customFormat="false" ht="15" hidden="false" customHeight="false" outlineLevel="0" collapsed="false">
      <c r="A52" s="5" t="s">
        <v>46</v>
      </c>
      <c r="B52" s="5" t="s">
        <v>47</v>
      </c>
      <c r="C52" s="5" t="s">
        <v>116</v>
      </c>
      <c r="D52" s="5" t="s">
        <v>129</v>
      </c>
      <c r="E52" s="5" t="s">
        <v>130</v>
      </c>
      <c r="F52" s="5" t="n">
        <v>3</v>
      </c>
      <c r="G52" s="5" t="n">
        <v>3</v>
      </c>
      <c r="H52" s="5" t="n">
        <f aca="false">G52-F52</f>
        <v>0</v>
      </c>
      <c r="I52" s="5" t="n">
        <f aca="false">ABS(H52)</f>
        <v>0</v>
      </c>
      <c r="J52" s="5" t="n">
        <f aca="false">IF(I52=0,1,0)</f>
        <v>1</v>
      </c>
      <c r="K52" s="5" t="n">
        <f aca="false">IF(I52&lt;=1,1,0)</f>
        <v>1</v>
      </c>
      <c r="L52" s="5" t="s">
        <v>71</v>
      </c>
      <c r="M52" s="5" t="s">
        <v>131</v>
      </c>
    </row>
    <row r="53" customFormat="false" ht="15" hidden="false" customHeight="false" outlineLevel="0" collapsed="false">
      <c r="A53" s="5" t="s">
        <v>46</v>
      </c>
      <c r="B53" s="5" t="s">
        <v>47</v>
      </c>
      <c r="C53" s="5" t="s">
        <v>116</v>
      </c>
      <c r="D53" s="5" t="s">
        <v>129</v>
      </c>
      <c r="E53" s="5" t="s">
        <v>132</v>
      </c>
      <c r="F53" s="5" t="n">
        <v>1</v>
      </c>
      <c r="G53" s="5" t="n">
        <v>1</v>
      </c>
      <c r="H53" s="5" t="n">
        <f aca="false">G53-F53</f>
        <v>0</v>
      </c>
      <c r="I53" s="5" t="n">
        <f aca="false">ABS(H53)</f>
        <v>0</v>
      </c>
      <c r="J53" s="5" t="n">
        <f aca="false">IF(I53=0,1,0)</f>
        <v>1</v>
      </c>
      <c r="K53" s="5" t="n">
        <f aca="false">IF(I53&lt;=1,1,0)</f>
        <v>1</v>
      </c>
      <c r="L53" s="5" t="s">
        <v>71</v>
      </c>
      <c r="M53" s="5" t="s">
        <v>131</v>
      </c>
    </row>
    <row r="54" customFormat="false" ht="15" hidden="false" customHeight="false" outlineLevel="0" collapsed="false">
      <c r="A54" s="5" t="s">
        <v>46</v>
      </c>
      <c r="B54" s="5" t="s">
        <v>47</v>
      </c>
      <c r="C54" s="5" t="s">
        <v>116</v>
      </c>
      <c r="D54" s="5" t="s">
        <v>129</v>
      </c>
      <c r="E54" s="5" t="s">
        <v>133</v>
      </c>
      <c r="F54" s="5" t="n">
        <v>0</v>
      </c>
      <c r="G54" s="5" t="n">
        <v>0</v>
      </c>
      <c r="H54" s="5" t="n">
        <f aca="false">G54-F54</f>
        <v>0</v>
      </c>
      <c r="I54" s="5" t="n">
        <f aca="false">ABS(H54)</f>
        <v>0</v>
      </c>
      <c r="J54" s="5" t="n">
        <f aca="false">IF(I54=0,1,0)</f>
        <v>1</v>
      </c>
      <c r="K54" s="5" t="n">
        <f aca="false">IF(I54&lt;=1,1,0)</f>
        <v>1</v>
      </c>
      <c r="L54" s="5" t="s">
        <v>71</v>
      </c>
      <c r="M54" s="5" t="s">
        <v>131</v>
      </c>
    </row>
    <row r="55" customFormat="false" ht="15" hidden="false" customHeight="false" outlineLevel="0" collapsed="false">
      <c r="A55" s="5" t="s">
        <v>46</v>
      </c>
      <c r="B55" s="5" t="s">
        <v>47</v>
      </c>
      <c r="C55" s="5" t="s">
        <v>116</v>
      </c>
      <c r="D55" s="5" t="s">
        <v>129</v>
      </c>
      <c r="E55" s="5" t="s">
        <v>134</v>
      </c>
      <c r="F55" s="5" t="n">
        <v>3</v>
      </c>
      <c r="G55" s="5" t="n">
        <v>3</v>
      </c>
      <c r="H55" s="5" t="n">
        <f aca="false">G55-F55</f>
        <v>0</v>
      </c>
      <c r="I55" s="5" t="n">
        <f aca="false">ABS(H55)</f>
        <v>0</v>
      </c>
      <c r="J55" s="5" t="n">
        <f aca="false">IF(I55=0,1,0)</f>
        <v>1</v>
      </c>
      <c r="K55" s="5" t="n">
        <f aca="false">IF(I55&lt;=1,1,0)</f>
        <v>1</v>
      </c>
      <c r="L55" s="5" t="s">
        <v>71</v>
      </c>
      <c r="M55" s="5" t="s">
        <v>131</v>
      </c>
    </row>
    <row r="56" customFormat="false" ht="15" hidden="false" customHeight="false" outlineLevel="0" collapsed="false">
      <c r="A56" s="16" t="s">
        <v>46</v>
      </c>
      <c r="B56" s="16" t="s">
        <v>47</v>
      </c>
      <c r="C56" s="16" t="s">
        <v>116</v>
      </c>
      <c r="D56" s="16" t="s">
        <v>129</v>
      </c>
      <c r="E56" s="16" t="s">
        <v>135</v>
      </c>
      <c r="F56" s="16" t="n">
        <v>1</v>
      </c>
      <c r="G56" s="16" t="n">
        <v>2</v>
      </c>
      <c r="H56" s="16" t="n">
        <f aca="false">G56-F56</f>
        <v>1</v>
      </c>
      <c r="I56" s="16" t="n">
        <f aca="false">ABS(H56)</f>
        <v>1</v>
      </c>
      <c r="J56" s="16" t="n">
        <f aca="false">IF(I56=0,1,0)</f>
        <v>0</v>
      </c>
      <c r="K56" s="16" t="n">
        <f aca="false">IF(I56&lt;=1,1,0)</f>
        <v>1</v>
      </c>
      <c r="L56" s="16" t="s">
        <v>76</v>
      </c>
      <c r="M56" s="16" t="s">
        <v>131</v>
      </c>
    </row>
    <row r="57" customFormat="false" ht="15" hidden="false" customHeight="false" outlineLevel="0" collapsed="false">
      <c r="A57" s="5" t="s">
        <v>46</v>
      </c>
      <c r="B57" s="5" t="s">
        <v>47</v>
      </c>
      <c r="C57" s="5" t="s">
        <v>116</v>
      </c>
      <c r="D57" s="5" t="s">
        <v>129</v>
      </c>
      <c r="E57" s="5" t="s">
        <v>127</v>
      </c>
      <c r="F57" s="5" t="n">
        <v>2</v>
      </c>
      <c r="G57" s="5" t="n">
        <v>2</v>
      </c>
      <c r="H57" s="5" t="n">
        <f aca="false">G57-F57</f>
        <v>0</v>
      </c>
      <c r="I57" s="5" t="n">
        <f aca="false">ABS(H57)</f>
        <v>0</v>
      </c>
      <c r="J57" s="5" t="n">
        <f aca="false">IF(I57=0,1,0)</f>
        <v>1</v>
      </c>
      <c r="K57" s="5" t="n">
        <f aca="false">IF(I57&lt;=1,1,0)</f>
        <v>1</v>
      </c>
      <c r="L57" s="5" t="s">
        <v>71</v>
      </c>
      <c r="M57" s="5" t="s">
        <v>131</v>
      </c>
    </row>
    <row r="58" customFormat="false" ht="15" hidden="false" customHeight="false" outlineLevel="0" collapsed="false">
      <c r="A58" s="5" t="s">
        <v>46</v>
      </c>
      <c r="B58" s="5" t="s">
        <v>47</v>
      </c>
      <c r="C58" s="5" t="s">
        <v>116</v>
      </c>
      <c r="D58" s="5" t="s">
        <v>129</v>
      </c>
      <c r="E58" s="5" t="s">
        <v>136</v>
      </c>
      <c r="F58" s="5" t="n">
        <v>2</v>
      </c>
      <c r="G58" s="5" t="n">
        <v>2</v>
      </c>
      <c r="H58" s="5" t="n">
        <f aca="false">G58-F58</f>
        <v>0</v>
      </c>
      <c r="I58" s="5" t="n">
        <f aca="false">ABS(H58)</f>
        <v>0</v>
      </c>
      <c r="J58" s="5" t="n">
        <f aca="false">IF(I58=0,1,0)</f>
        <v>1</v>
      </c>
      <c r="K58" s="5" t="n">
        <f aca="false">IF(I58&lt;=1,1,0)</f>
        <v>1</v>
      </c>
      <c r="L58" s="5" t="s">
        <v>71</v>
      </c>
      <c r="M58" s="5" t="s">
        <v>131</v>
      </c>
    </row>
    <row r="59" customFormat="false" ht="15" hidden="false" customHeight="false" outlineLevel="0" collapsed="false">
      <c r="A59" s="5" t="s">
        <v>46</v>
      </c>
      <c r="B59" s="5" t="s">
        <v>47</v>
      </c>
      <c r="C59" s="5" t="s">
        <v>116</v>
      </c>
      <c r="D59" s="5" t="s">
        <v>129</v>
      </c>
      <c r="E59" s="5" t="s">
        <v>137</v>
      </c>
      <c r="F59" s="5" t="n">
        <v>3</v>
      </c>
      <c r="G59" s="5" t="n">
        <v>3</v>
      </c>
      <c r="H59" s="5" t="n">
        <f aca="false">G59-F59</f>
        <v>0</v>
      </c>
      <c r="I59" s="5" t="n">
        <f aca="false">ABS(H59)</f>
        <v>0</v>
      </c>
      <c r="J59" s="5" t="n">
        <f aca="false">IF(I59=0,1,0)</f>
        <v>1</v>
      </c>
      <c r="K59" s="5" t="n">
        <f aca="false">IF(I59&lt;=1,1,0)</f>
        <v>1</v>
      </c>
      <c r="L59" s="5" t="s">
        <v>71</v>
      </c>
      <c r="M59" s="5" t="s">
        <v>131</v>
      </c>
    </row>
    <row r="60" customFormat="false" ht="15" hidden="false" customHeight="false" outlineLevel="0" collapsed="false">
      <c r="A60" s="16" t="s">
        <v>46</v>
      </c>
      <c r="B60" s="16" t="s">
        <v>47</v>
      </c>
      <c r="C60" s="16" t="s">
        <v>116</v>
      </c>
      <c r="D60" s="16" t="s">
        <v>138</v>
      </c>
      <c r="E60" s="16" t="s">
        <v>139</v>
      </c>
      <c r="F60" s="16" t="n">
        <v>1</v>
      </c>
      <c r="G60" s="16" t="n">
        <v>2</v>
      </c>
      <c r="H60" s="16" t="n">
        <f aca="false">G60-F60</f>
        <v>1</v>
      </c>
      <c r="I60" s="16" t="n">
        <f aca="false">ABS(H60)</f>
        <v>1</v>
      </c>
      <c r="J60" s="16" t="n">
        <f aca="false">IF(I60=0,1,0)</f>
        <v>0</v>
      </c>
      <c r="K60" s="16" t="n">
        <f aca="false">IF(I60&lt;=1,1,0)</f>
        <v>1</v>
      </c>
      <c r="L60" s="16" t="s">
        <v>76</v>
      </c>
      <c r="M60" s="16" t="s">
        <v>140</v>
      </c>
    </row>
    <row r="61" customFormat="false" ht="15" hidden="false" customHeight="false" outlineLevel="0" collapsed="false">
      <c r="A61" s="5" t="s">
        <v>46</v>
      </c>
      <c r="B61" s="5" t="s">
        <v>47</v>
      </c>
      <c r="C61" s="5" t="s">
        <v>116</v>
      </c>
      <c r="D61" s="5" t="s">
        <v>138</v>
      </c>
      <c r="E61" s="5" t="s">
        <v>141</v>
      </c>
      <c r="F61" s="5" t="n">
        <v>3</v>
      </c>
      <c r="G61" s="5" t="n">
        <v>3</v>
      </c>
      <c r="H61" s="5" t="n">
        <f aca="false">G61-F61</f>
        <v>0</v>
      </c>
      <c r="I61" s="5" t="n">
        <f aca="false">ABS(H61)</f>
        <v>0</v>
      </c>
      <c r="J61" s="5" t="n">
        <f aca="false">IF(I61=0,1,0)</f>
        <v>1</v>
      </c>
      <c r="K61" s="5" t="n">
        <f aca="false">IF(I61&lt;=1,1,0)</f>
        <v>1</v>
      </c>
      <c r="L61" s="5" t="s">
        <v>71</v>
      </c>
      <c r="M61" s="5" t="s">
        <v>140</v>
      </c>
    </row>
    <row r="62" customFormat="false" ht="15" hidden="false" customHeight="false" outlineLevel="0" collapsed="false">
      <c r="A62" s="5" t="s">
        <v>46</v>
      </c>
      <c r="B62" s="5" t="s">
        <v>47</v>
      </c>
      <c r="C62" s="5" t="s">
        <v>116</v>
      </c>
      <c r="D62" s="5" t="s">
        <v>138</v>
      </c>
      <c r="E62" s="5" t="s">
        <v>142</v>
      </c>
      <c r="F62" s="5" t="n">
        <v>2</v>
      </c>
      <c r="G62" s="5" t="n">
        <v>2</v>
      </c>
      <c r="H62" s="5" t="n">
        <f aca="false">G62-F62</f>
        <v>0</v>
      </c>
      <c r="I62" s="5" t="n">
        <f aca="false">ABS(H62)</f>
        <v>0</v>
      </c>
      <c r="J62" s="5" t="n">
        <f aca="false">IF(I62=0,1,0)</f>
        <v>1</v>
      </c>
      <c r="K62" s="5" t="n">
        <f aca="false">IF(I62&lt;=1,1,0)</f>
        <v>1</v>
      </c>
      <c r="L62" s="5" t="s">
        <v>71</v>
      </c>
      <c r="M62" s="5" t="s">
        <v>140</v>
      </c>
    </row>
    <row r="63" customFormat="false" ht="15" hidden="false" customHeight="false" outlineLevel="0" collapsed="false">
      <c r="A63" s="5" t="s">
        <v>46</v>
      </c>
      <c r="B63" s="5" t="s">
        <v>47</v>
      </c>
      <c r="C63" s="5" t="s">
        <v>116</v>
      </c>
      <c r="D63" s="5" t="s">
        <v>138</v>
      </c>
      <c r="E63" s="5" t="s">
        <v>143</v>
      </c>
      <c r="F63" s="5" t="n">
        <v>3</v>
      </c>
      <c r="G63" s="5" t="n">
        <v>3</v>
      </c>
      <c r="H63" s="5" t="n">
        <f aca="false">G63-F63</f>
        <v>0</v>
      </c>
      <c r="I63" s="5" t="n">
        <f aca="false">ABS(H63)</f>
        <v>0</v>
      </c>
      <c r="J63" s="5" t="n">
        <f aca="false">IF(I63=0,1,0)</f>
        <v>1</v>
      </c>
      <c r="K63" s="5" t="n">
        <f aca="false">IF(I63&lt;=1,1,0)</f>
        <v>1</v>
      </c>
      <c r="L63" s="5" t="s">
        <v>71</v>
      </c>
      <c r="M63" s="5" t="s">
        <v>140</v>
      </c>
    </row>
    <row r="64" customFormat="false" ht="15" hidden="false" customHeight="false" outlineLevel="0" collapsed="false">
      <c r="A64" s="16" t="s">
        <v>46</v>
      </c>
      <c r="B64" s="16" t="s">
        <v>47</v>
      </c>
      <c r="C64" s="16" t="s">
        <v>116</v>
      </c>
      <c r="D64" s="16" t="s">
        <v>138</v>
      </c>
      <c r="E64" s="16" t="s">
        <v>144</v>
      </c>
      <c r="F64" s="16" t="n">
        <v>2</v>
      </c>
      <c r="G64" s="16" t="n">
        <v>3</v>
      </c>
      <c r="H64" s="16" t="n">
        <f aca="false">G64-F64</f>
        <v>1</v>
      </c>
      <c r="I64" s="16" t="n">
        <f aca="false">ABS(H64)</f>
        <v>1</v>
      </c>
      <c r="J64" s="16" t="n">
        <f aca="false">IF(I64=0,1,0)</f>
        <v>0</v>
      </c>
      <c r="K64" s="16" t="n">
        <f aca="false">IF(I64&lt;=1,1,0)</f>
        <v>1</v>
      </c>
      <c r="L64" s="16" t="s">
        <v>76</v>
      </c>
      <c r="M64" s="16" t="s">
        <v>140</v>
      </c>
    </row>
    <row r="65" customFormat="false" ht="15" hidden="false" customHeight="false" outlineLevel="0" collapsed="false">
      <c r="A65" s="5" t="s">
        <v>46</v>
      </c>
      <c r="B65" s="5" t="s">
        <v>47</v>
      </c>
      <c r="C65" s="5" t="s">
        <v>116</v>
      </c>
      <c r="D65" s="5" t="s">
        <v>138</v>
      </c>
      <c r="E65" s="5" t="s">
        <v>127</v>
      </c>
      <c r="F65" s="5" t="n">
        <v>2</v>
      </c>
      <c r="G65" s="5" t="n">
        <v>2</v>
      </c>
      <c r="H65" s="5" t="n">
        <f aca="false">G65-F65</f>
        <v>0</v>
      </c>
      <c r="I65" s="5" t="n">
        <f aca="false">ABS(H65)</f>
        <v>0</v>
      </c>
      <c r="J65" s="5" t="n">
        <f aca="false">IF(I65=0,1,0)</f>
        <v>1</v>
      </c>
      <c r="K65" s="5" t="n">
        <f aca="false">IF(I65&lt;=1,1,0)</f>
        <v>1</v>
      </c>
      <c r="L65" s="5" t="s">
        <v>71</v>
      </c>
      <c r="M65" s="5" t="s">
        <v>140</v>
      </c>
    </row>
    <row r="66" customFormat="false" ht="15" hidden="false" customHeight="false" outlineLevel="0" collapsed="false">
      <c r="A66" s="5" t="s">
        <v>46</v>
      </c>
      <c r="B66" s="5" t="s">
        <v>47</v>
      </c>
      <c r="C66" s="5" t="s">
        <v>145</v>
      </c>
      <c r="D66" s="5" t="s">
        <v>69</v>
      </c>
      <c r="E66" s="5" t="s">
        <v>146</v>
      </c>
      <c r="F66" s="5" t="n">
        <v>2</v>
      </c>
      <c r="G66" s="5" t="n">
        <v>2</v>
      </c>
      <c r="H66" s="5" t="n">
        <f aca="false">G66-F66</f>
        <v>0</v>
      </c>
      <c r="I66" s="5" t="n">
        <f aca="false">ABS(H66)</f>
        <v>0</v>
      </c>
      <c r="J66" s="5" t="n">
        <f aca="false">IF(I66=0,1,0)</f>
        <v>1</v>
      </c>
      <c r="K66" s="5" t="n">
        <f aca="false">IF(I66&lt;=1,1,0)</f>
        <v>1</v>
      </c>
      <c r="L66" s="5" t="s">
        <v>71</v>
      </c>
      <c r="M66" s="5" t="s">
        <v>147</v>
      </c>
    </row>
    <row r="67" customFormat="false" ht="15" hidden="false" customHeight="false" outlineLevel="0" collapsed="false">
      <c r="A67" s="5" t="s">
        <v>46</v>
      </c>
      <c r="B67" s="5" t="s">
        <v>47</v>
      </c>
      <c r="C67" s="5" t="s">
        <v>145</v>
      </c>
      <c r="D67" s="5" t="s">
        <v>69</v>
      </c>
      <c r="E67" s="5" t="s">
        <v>117</v>
      </c>
      <c r="F67" s="5" t="n">
        <v>3</v>
      </c>
      <c r="G67" s="5" t="n">
        <v>3</v>
      </c>
      <c r="H67" s="5" t="n">
        <f aca="false">G67-F67</f>
        <v>0</v>
      </c>
      <c r="I67" s="5" t="n">
        <f aca="false">ABS(H67)</f>
        <v>0</v>
      </c>
      <c r="J67" s="5" t="n">
        <f aca="false">IF(I67=0,1,0)</f>
        <v>1</v>
      </c>
      <c r="K67" s="5" t="n">
        <f aca="false">IF(I67&lt;=1,1,0)</f>
        <v>1</v>
      </c>
      <c r="L67" s="5" t="s">
        <v>71</v>
      </c>
      <c r="M67" s="5" t="s">
        <v>147</v>
      </c>
    </row>
    <row r="68" customFormat="false" ht="15" hidden="false" customHeight="false" outlineLevel="0" collapsed="false">
      <c r="A68" s="5" t="s">
        <v>46</v>
      </c>
      <c r="B68" s="5" t="s">
        <v>47</v>
      </c>
      <c r="C68" s="5" t="s">
        <v>145</v>
      </c>
      <c r="D68" s="5" t="s">
        <v>69</v>
      </c>
      <c r="E68" s="5" t="s">
        <v>148</v>
      </c>
      <c r="F68" s="5" t="n">
        <v>3</v>
      </c>
      <c r="G68" s="5" t="n">
        <v>3</v>
      </c>
      <c r="H68" s="5" t="n">
        <f aca="false">G68-F68</f>
        <v>0</v>
      </c>
      <c r="I68" s="5" t="n">
        <f aca="false">ABS(H68)</f>
        <v>0</v>
      </c>
      <c r="J68" s="5" t="n">
        <f aca="false">IF(I68=0,1,0)</f>
        <v>1</v>
      </c>
      <c r="K68" s="5" t="n">
        <f aca="false">IF(I68&lt;=1,1,0)</f>
        <v>1</v>
      </c>
      <c r="L68" s="5" t="s">
        <v>71</v>
      </c>
      <c r="M68" s="5" t="s">
        <v>147</v>
      </c>
    </row>
    <row r="69" customFormat="false" ht="15" hidden="false" customHeight="false" outlineLevel="0" collapsed="false">
      <c r="A69" s="16" t="s">
        <v>46</v>
      </c>
      <c r="B69" s="16" t="s">
        <v>47</v>
      </c>
      <c r="C69" s="16" t="s">
        <v>145</v>
      </c>
      <c r="D69" s="16" t="s">
        <v>69</v>
      </c>
      <c r="E69" s="16" t="s">
        <v>149</v>
      </c>
      <c r="F69" s="16" t="n">
        <v>3</v>
      </c>
      <c r="G69" s="16" t="n">
        <v>2</v>
      </c>
      <c r="H69" s="16" t="n">
        <f aca="false">G69-F69</f>
        <v>-1</v>
      </c>
      <c r="I69" s="16" t="n">
        <f aca="false">ABS(H69)</f>
        <v>1</v>
      </c>
      <c r="J69" s="16" t="n">
        <f aca="false">IF(I69=0,1,0)</f>
        <v>0</v>
      </c>
      <c r="K69" s="16" t="n">
        <f aca="false">IF(I69&lt;=1,1,0)</f>
        <v>1</v>
      </c>
      <c r="L69" s="16" t="s">
        <v>76</v>
      </c>
      <c r="M69" s="16" t="s">
        <v>147</v>
      </c>
    </row>
    <row r="70" customFormat="false" ht="15" hidden="false" customHeight="false" outlineLevel="0" collapsed="false">
      <c r="A70" s="16" t="s">
        <v>46</v>
      </c>
      <c r="B70" s="16" t="s">
        <v>47</v>
      </c>
      <c r="C70" s="16" t="s">
        <v>145</v>
      </c>
      <c r="D70" s="16" t="s">
        <v>114</v>
      </c>
      <c r="E70" s="16" t="s">
        <v>150</v>
      </c>
      <c r="F70" s="16" t="n">
        <v>1</v>
      </c>
      <c r="G70" s="16" t="n">
        <v>0</v>
      </c>
      <c r="H70" s="16" t="n">
        <f aca="false">G70-F70</f>
        <v>-1</v>
      </c>
      <c r="I70" s="16" t="n">
        <f aca="false">ABS(H70)</f>
        <v>1</v>
      </c>
      <c r="J70" s="16" t="n">
        <f aca="false">IF(I70=0,1,0)</f>
        <v>0</v>
      </c>
      <c r="K70" s="16" t="n">
        <f aca="false">IF(I70&lt;=1,1,0)</f>
        <v>1</v>
      </c>
      <c r="L70" s="16" t="s">
        <v>76</v>
      </c>
      <c r="M70" s="16" t="s">
        <v>151</v>
      </c>
    </row>
    <row r="71" customFormat="false" ht="15" hidden="false" customHeight="false" outlineLevel="0" collapsed="false">
      <c r="A71" s="16" t="s">
        <v>46</v>
      </c>
      <c r="B71" s="16" t="s">
        <v>47</v>
      </c>
      <c r="C71" s="16" t="s">
        <v>145</v>
      </c>
      <c r="D71" s="16" t="s">
        <v>114</v>
      </c>
      <c r="E71" s="16" t="s">
        <v>152</v>
      </c>
      <c r="F71" s="16" t="n">
        <v>1</v>
      </c>
      <c r="G71" s="16" t="n">
        <v>0</v>
      </c>
      <c r="H71" s="16" t="n">
        <f aca="false">G71-F71</f>
        <v>-1</v>
      </c>
      <c r="I71" s="16" t="n">
        <f aca="false">ABS(H71)</f>
        <v>1</v>
      </c>
      <c r="J71" s="16" t="n">
        <f aca="false">IF(I71=0,1,0)</f>
        <v>0</v>
      </c>
      <c r="K71" s="16" t="n">
        <f aca="false">IF(I71&lt;=1,1,0)</f>
        <v>1</v>
      </c>
      <c r="L71" s="16" t="s">
        <v>76</v>
      </c>
      <c r="M71" s="16" t="s">
        <v>151</v>
      </c>
    </row>
    <row r="72" customFormat="false" ht="15" hidden="false" customHeight="false" outlineLevel="0" collapsed="false">
      <c r="A72" s="16" t="s">
        <v>46</v>
      </c>
      <c r="B72" s="16" t="s">
        <v>47</v>
      </c>
      <c r="C72" s="16" t="s">
        <v>145</v>
      </c>
      <c r="D72" s="16" t="s">
        <v>114</v>
      </c>
      <c r="E72" s="16" t="s">
        <v>153</v>
      </c>
      <c r="F72" s="16" t="n">
        <v>1</v>
      </c>
      <c r="G72" s="16" t="n">
        <v>0</v>
      </c>
      <c r="H72" s="16" t="n">
        <f aca="false">G72-F72</f>
        <v>-1</v>
      </c>
      <c r="I72" s="16" t="n">
        <f aca="false">ABS(H72)</f>
        <v>1</v>
      </c>
      <c r="J72" s="16" t="n">
        <f aca="false">IF(I72=0,1,0)</f>
        <v>0</v>
      </c>
      <c r="K72" s="16" t="n">
        <f aca="false">IF(I72&lt;=1,1,0)</f>
        <v>1</v>
      </c>
      <c r="L72" s="16" t="s">
        <v>76</v>
      </c>
      <c r="M72" s="16" t="s">
        <v>151</v>
      </c>
    </row>
    <row r="73" customFormat="false" ht="15" hidden="false" customHeight="false" outlineLevel="0" collapsed="false">
      <c r="A73" s="5" t="s">
        <v>46</v>
      </c>
      <c r="B73" s="5" t="s">
        <v>47</v>
      </c>
      <c r="C73" s="5" t="s">
        <v>145</v>
      </c>
      <c r="D73" s="5" t="s">
        <v>114</v>
      </c>
      <c r="E73" s="5" t="s">
        <v>154</v>
      </c>
      <c r="F73" s="5" t="n">
        <v>1</v>
      </c>
      <c r="G73" s="5" t="n">
        <v>1</v>
      </c>
      <c r="H73" s="5" t="n">
        <f aca="false">G73-F73</f>
        <v>0</v>
      </c>
      <c r="I73" s="5" t="n">
        <f aca="false">ABS(H73)</f>
        <v>0</v>
      </c>
      <c r="J73" s="5" t="n">
        <f aca="false">IF(I73=0,1,0)</f>
        <v>1</v>
      </c>
      <c r="K73" s="5" t="n">
        <f aca="false">IF(I73&lt;=1,1,0)</f>
        <v>1</v>
      </c>
      <c r="L73" s="5" t="s">
        <v>71</v>
      </c>
      <c r="M73" s="5" t="s">
        <v>151</v>
      </c>
    </row>
    <row r="74" customFormat="false" ht="15" hidden="false" customHeight="false" outlineLevel="0" collapsed="false">
      <c r="A74" s="5" t="s">
        <v>46</v>
      </c>
      <c r="B74" s="5" t="s">
        <v>47</v>
      </c>
      <c r="C74" s="5" t="s">
        <v>145</v>
      </c>
      <c r="D74" s="5" t="s">
        <v>114</v>
      </c>
      <c r="E74" s="5" t="s">
        <v>155</v>
      </c>
      <c r="F74" s="5" t="n">
        <v>3</v>
      </c>
      <c r="G74" s="5" t="n">
        <v>3</v>
      </c>
      <c r="H74" s="5" t="n">
        <f aca="false">G74-F74</f>
        <v>0</v>
      </c>
      <c r="I74" s="5" t="n">
        <f aca="false">ABS(H74)</f>
        <v>0</v>
      </c>
      <c r="J74" s="5" t="n">
        <f aca="false">IF(I74=0,1,0)</f>
        <v>1</v>
      </c>
      <c r="K74" s="5" t="n">
        <f aca="false">IF(I74&lt;=1,1,0)</f>
        <v>1</v>
      </c>
      <c r="L74" s="5" t="s">
        <v>71</v>
      </c>
      <c r="M74" s="5" t="s">
        <v>151</v>
      </c>
    </row>
    <row r="75" customFormat="false" ht="15" hidden="false" customHeight="false" outlineLevel="0" collapsed="false">
      <c r="A75" s="5" t="s">
        <v>46</v>
      </c>
      <c r="B75" s="5" t="s">
        <v>47</v>
      </c>
      <c r="C75" s="5" t="s">
        <v>145</v>
      </c>
      <c r="D75" s="5" t="s">
        <v>156</v>
      </c>
      <c r="E75" s="5" t="s">
        <v>157</v>
      </c>
      <c r="F75" s="5" t="n">
        <v>2</v>
      </c>
      <c r="G75" s="5" t="n">
        <v>2</v>
      </c>
      <c r="H75" s="5" t="n">
        <f aca="false">G75-F75</f>
        <v>0</v>
      </c>
      <c r="I75" s="5" t="n">
        <f aca="false">ABS(H75)</f>
        <v>0</v>
      </c>
      <c r="J75" s="5" t="n">
        <f aca="false">IF(I75=0,1,0)</f>
        <v>1</v>
      </c>
      <c r="K75" s="5" t="n">
        <f aca="false">IF(I75&lt;=1,1,0)</f>
        <v>1</v>
      </c>
      <c r="L75" s="5" t="s">
        <v>71</v>
      </c>
      <c r="M75" s="5" t="s">
        <v>158</v>
      </c>
    </row>
    <row r="76" customFormat="false" ht="15" hidden="false" customHeight="false" outlineLevel="0" collapsed="false">
      <c r="A76" s="16" t="s">
        <v>46</v>
      </c>
      <c r="B76" s="16" t="s">
        <v>47</v>
      </c>
      <c r="C76" s="16" t="s">
        <v>145</v>
      </c>
      <c r="D76" s="16" t="s">
        <v>156</v>
      </c>
      <c r="E76" s="16" t="s">
        <v>159</v>
      </c>
      <c r="F76" s="16" t="n">
        <v>1</v>
      </c>
      <c r="G76" s="16" t="n">
        <v>2</v>
      </c>
      <c r="H76" s="16" t="n">
        <f aca="false">G76-F76</f>
        <v>1</v>
      </c>
      <c r="I76" s="16" t="n">
        <f aca="false">ABS(H76)</f>
        <v>1</v>
      </c>
      <c r="J76" s="16" t="n">
        <f aca="false">IF(I76=0,1,0)</f>
        <v>0</v>
      </c>
      <c r="K76" s="16" t="n">
        <f aca="false">IF(I76&lt;=1,1,0)</f>
        <v>1</v>
      </c>
      <c r="L76" s="16" t="s">
        <v>76</v>
      </c>
      <c r="M76" s="16" t="s">
        <v>158</v>
      </c>
    </row>
    <row r="77" customFormat="false" ht="15" hidden="false" customHeight="false" outlineLevel="0" collapsed="false">
      <c r="A77" s="16" t="s">
        <v>46</v>
      </c>
      <c r="B77" s="16" t="s">
        <v>47</v>
      </c>
      <c r="C77" s="16" t="s">
        <v>145</v>
      </c>
      <c r="D77" s="16" t="s">
        <v>156</v>
      </c>
      <c r="E77" s="16" t="s">
        <v>160</v>
      </c>
      <c r="F77" s="16" t="n">
        <v>0</v>
      </c>
      <c r="G77" s="16" t="n">
        <v>1</v>
      </c>
      <c r="H77" s="16" t="n">
        <f aca="false">G77-F77</f>
        <v>1</v>
      </c>
      <c r="I77" s="16" t="n">
        <f aca="false">ABS(H77)</f>
        <v>1</v>
      </c>
      <c r="J77" s="16" t="n">
        <f aca="false">IF(I77=0,1,0)</f>
        <v>0</v>
      </c>
      <c r="K77" s="16" t="n">
        <f aca="false">IF(I77&lt;=1,1,0)</f>
        <v>1</v>
      </c>
      <c r="L77" s="16" t="s">
        <v>76</v>
      </c>
      <c r="M77" s="16" t="s">
        <v>158</v>
      </c>
    </row>
    <row r="78" customFormat="false" ht="15" hidden="false" customHeight="false" outlineLevel="0" collapsed="false">
      <c r="A78" s="16" t="s">
        <v>46</v>
      </c>
      <c r="B78" s="16" t="s">
        <v>47</v>
      </c>
      <c r="C78" s="16" t="s">
        <v>145</v>
      </c>
      <c r="D78" s="16" t="s">
        <v>156</v>
      </c>
      <c r="E78" s="16" t="s">
        <v>161</v>
      </c>
      <c r="F78" s="16" t="n">
        <v>1</v>
      </c>
      <c r="G78" s="16" t="n">
        <v>2</v>
      </c>
      <c r="H78" s="16" t="n">
        <f aca="false">G78-F78</f>
        <v>1</v>
      </c>
      <c r="I78" s="16" t="n">
        <f aca="false">ABS(H78)</f>
        <v>1</v>
      </c>
      <c r="J78" s="16" t="n">
        <f aca="false">IF(I78=0,1,0)</f>
        <v>0</v>
      </c>
      <c r="K78" s="16" t="n">
        <f aca="false">IF(I78&lt;=1,1,0)</f>
        <v>1</v>
      </c>
      <c r="L78" s="16" t="s">
        <v>76</v>
      </c>
      <c r="M78" s="16" t="s">
        <v>158</v>
      </c>
    </row>
    <row r="79" customFormat="false" ht="15" hidden="false" customHeight="false" outlineLevel="0" collapsed="false">
      <c r="A79" s="5" t="s">
        <v>46</v>
      </c>
      <c r="B79" s="5" t="s">
        <v>47</v>
      </c>
      <c r="C79" s="5" t="s">
        <v>145</v>
      </c>
      <c r="D79" s="5" t="s">
        <v>156</v>
      </c>
      <c r="E79" s="5" t="s">
        <v>162</v>
      </c>
      <c r="F79" s="5" t="n">
        <v>3</v>
      </c>
      <c r="G79" s="5" t="n">
        <v>3</v>
      </c>
      <c r="H79" s="5" t="n">
        <f aca="false">G79-F79</f>
        <v>0</v>
      </c>
      <c r="I79" s="5" t="n">
        <f aca="false">ABS(H79)</f>
        <v>0</v>
      </c>
      <c r="J79" s="5" t="n">
        <f aca="false">IF(I79=0,1,0)</f>
        <v>1</v>
      </c>
      <c r="K79" s="5" t="n">
        <f aca="false">IF(I79&lt;=1,1,0)</f>
        <v>1</v>
      </c>
      <c r="L79" s="5" t="s">
        <v>71</v>
      </c>
      <c r="M79" s="5" t="s">
        <v>158</v>
      </c>
    </row>
    <row r="80" customFormat="false" ht="15" hidden="false" customHeight="false" outlineLevel="0" collapsed="false">
      <c r="A80" s="5" t="s">
        <v>46</v>
      </c>
      <c r="B80" s="5" t="s">
        <v>47</v>
      </c>
      <c r="C80" s="5" t="s">
        <v>145</v>
      </c>
      <c r="D80" s="5" t="s">
        <v>163</v>
      </c>
      <c r="E80" s="5" t="s">
        <v>164</v>
      </c>
      <c r="F80" s="5" t="n">
        <v>2</v>
      </c>
      <c r="G80" s="5" t="n">
        <v>2</v>
      </c>
      <c r="H80" s="5" t="n">
        <f aca="false">G80-F80</f>
        <v>0</v>
      </c>
      <c r="I80" s="5" t="n">
        <f aca="false">ABS(H80)</f>
        <v>0</v>
      </c>
      <c r="J80" s="5" t="n">
        <f aca="false">IF(I80=0,1,0)</f>
        <v>1</v>
      </c>
      <c r="K80" s="5" t="n">
        <f aca="false">IF(I80&lt;=1,1,0)</f>
        <v>1</v>
      </c>
      <c r="L80" s="5" t="s">
        <v>71</v>
      </c>
      <c r="M80" s="5" t="s">
        <v>165</v>
      </c>
    </row>
    <row r="81" customFormat="false" ht="15" hidden="false" customHeight="false" outlineLevel="0" collapsed="false">
      <c r="A81" s="5" t="s">
        <v>46</v>
      </c>
      <c r="B81" s="5" t="s">
        <v>47</v>
      </c>
      <c r="C81" s="5" t="s">
        <v>145</v>
      </c>
      <c r="D81" s="5" t="s">
        <v>163</v>
      </c>
      <c r="E81" s="5" t="s">
        <v>166</v>
      </c>
      <c r="F81" s="5" t="n">
        <v>1</v>
      </c>
      <c r="G81" s="5" t="n">
        <v>1</v>
      </c>
      <c r="H81" s="5" t="n">
        <f aca="false">G81-F81</f>
        <v>0</v>
      </c>
      <c r="I81" s="5" t="n">
        <f aca="false">ABS(H81)</f>
        <v>0</v>
      </c>
      <c r="J81" s="5" t="n">
        <f aca="false">IF(I81=0,1,0)</f>
        <v>1</v>
      </c>
      <c r="K81" s="5" t="n">
        <f aca="false">IF(I81&lt;=1,1,0)</f>
        <v>1</v>
      </c>
      <c r="L81" s="5" t="s">
        <v>71</v>
      </c>
      <c r="M81" s="5" t="s">
        <v>165</v>
      </c>
    </row>
    <row r="82" customFormat="false" ht="15" hidden="false" customHeight="false" outlineLevel="0" collapsed="false">
      <c r="A82" s="5" t="s">
        <v>46</v>
      </c>
      <c r="B82" s="5" t="s">
        <v>47</v>
      </c>
      <c r="C82" s="5" t="s">
        <v>145</v>
      </c>
      <c r="D82" s="5" t="s">
        <v>163</v>
      </c>
      <c r="E82" s="5" t="s">
        <v>167</v>
      </c>
      <c r="F82" s="5" t="n">
        <v>3</v>
      </c>
      <c r="G82" s="5" t="n">
        <v>3</v>
      </c>
      <c r="H82" s="5" t="n">
        <f aca="false">G82-F82</f>
        <v>0</v>
      </c>
      <c r="I82" s="5" t="n">
        <f aca="false">ABS(H82)</f>
        <v>0</v>
      </c>
      <c r="J82" s="5" t="n">
        <f aca="false">IF(I82=0,1,0)</f>
        <v>1</v>
      </c>
      <c r="K82" s="5" t="n">
        <f aca="false">IF(I82&lt;=1,1,0)</f>
        <v>1</v>
      </c>
      <c r="L82" s="5" t="s">
        <v>71</v>
      </c>
      <c r="M82" s="5" t="s">
        <v>165</v>
      </c>
    </row>
    <row r="83" customFormat="false" ht="15" hidden="false" customHeight="false" outlineLevel="0" collapsed="false">
      <c r="A83" s="5" t="s">
        <v>46</v>
      </c>
      <c r="B83" s="5" t="s">
        <v>47</v>
      </c>
      <c r="C83" s="5" t="s">
        <v>145</v>
      </c>
      <c r="D83" s="5" t="s">
        <v>163</v>
      </c>
      <c r="E83" s="5" t="s">
        <v>168</v>
      </c>
      <c r="F83" s="5" t="n">
        <v>1</v>
      </c>
      <c r="G83" s="5" t="n">
        <v>1</v>
      </c>
      <c r="H83" s="5" t="n">
        <f aca="false">G83-F83</f>
        <v>0</v>
      </c>
      <c r="I83" s="5" t="n">
        <f aca="false">ABS(H83)</f>
        <v>0</v>
      </c>
      <c r="J83" s="5" t="n">
        <f aca="false">IF(I83=0,1,0)</f>
        <v>1</v>
      </c>
      <c r="K83" s="5" t="n">
        <f aca="false">IF(I83&lt;=1,1,0)</f>
        <v>1</v>
      </c>
      <c r="L83" s="5" t="s">
        <v>71</v>
      </c>
      <c r="M83" s="5" t="s">
        <v>165</v>
      </c>
    </row>
    <row r="84" customFormat="false" ht="15" hidden="false" customHeight="false" outlineLevel="0" collapsed="false">
      <c r="A84" s="16" t="s">
        <v>46</v>
      </c>
      <c r="B84" s="16" t="s">
        <v>47</v>
      </c>
      <c r="C84" s="16" t="s">
        <v>145</v>
      </c>
      <c r="D84" s="16" t="s">
        <v>163</v>
      </c>
      <c r="E84" s="16" t="s">
        <v>169</v>
      </c>
      <c r="F84" s="16" t="n">
        <v>3</v>
      </c>
      <c r="G84" s="16" t="n">
        <v>2</v>
      </c>
      <c r="H84" s="16" t="n">
        <f aca="false">G84-F84</f>
        <v>-1</v>
      </c>
      <c r="I84" s="16" t="n">
        <f aca="false">ABS(H84)</f>
        <v>1</v>
      </c>
      <c r="J84" s="16" t="n">
        <f aca="false">IF(I84=0,1,0)</f>
        <v>0</v>
      </c>
      <c r="K84" s="16" t="n">
        <f aca="false">IF(I84&lt;=1,1,0)</f>
        <v>1</v>
      </c>
      <c r="L84" s="16" t="s">
        <v>76</v>
      </c>
      <c r="M84" s="16" t="s">
        <v>165</v>
      </c>
    </row>
    <row r="85" customFormat="false" ht="15" hidden="false" customHeight="false" outlineLevel="0" collapsed="false">
      <c r="A85" s="5" t="s">
        <v>46</v>
      </c>
      <c r="B85" s="5" t="s">
        <v>47</v>
      </c>
      <c r="C85" s="5" t="s">
        <v>170</v>
      </c>
      <c r="D85" s="5" t="s">
        <v>69</v>
      </c>
      <c r="E85" s="5" t="s">
        <v>171</v>
      </c>
      <c r="F85" s="5" t="n">
        <v>2</v>
      </c>
      <c r="G85" s="5" t="n">
        <v>2</v>
      </c>
      <c r="H85" s="5" t="n">
        <f aca="false">G85-F85</f>
        <v>0</v>
      </c>
      <c r="I85" s="5" t="n">
        <f aca="false">ABS(H85)</f>
        <v>0</v>
      </c>
      <c r="J85" s="5" t="n">
        <f aca="false">IF(I85=0,1,0)</f>
        <v>1</v>
      </c>
      <c r="K85" s="5" t="n">
        <f aca="false">IF(I85&lt;=1,1,0)</f>
        <v>1</v>
      </c>
      <c r="L85" s="5" t="s">
        <v>71</v>
      </c>
      <c r="M85" s="5" t="s">
        <v>172</v>
      </c>
    </row>
    <row r="86" customFormat="false" ht="15" hidden="false" customHeight="false" outlineLevel="0" collapsed="false">
      <c r="A86" s="5" t="s">
        <v>46</v>
      </c>
      <c r="B86" s="5" t="s">
        <v>47</v>
      </c>
      <c r="C86" s="5" t="s">
        <v>170</v>
      </c>
      <c r="D86" s="5" t="s">
        <v>69</v>
      </c>
      <c r="E86" s="5" t="s">
        <v>173</v>
      </c>
      <c r="F86" s="5" t="n">
        <v>2</v>
      </c>
      <c r="G86" s="5" t="n">
        <v>2</v>
      </c>
      <c r="H86" s="5" t="n">
        <f aca="false">G86-F86</f>
        <v>0</v>
      </c>
      <c r="I86" s="5" t="n">
        <f aca="false">ABS(H86)</f>
        <v>0</v>
      </c>
      <c r="J86" s="5" t="n">
        <f aca="false">IF(I86=0,1,0)</f>
        <v>1</v>
      </c>
      <c r="K86" s="5" t="n">
        <f aca="false">IF(I86&lt;=1,1,0)</f>
        <v>1</v>
      </c>
      <c r="L86" s="5" t="s">
        <v>71</v>
      </c>
      <c r="M86" s="5" t="s">
        <v>172</v>
      </c>
    </row>
    <row r="87" customFormat="false" ht="15" hidden="false" customHeight="false" outlineLevel="0" collapsed="false">
      <c r="A87" s="5" t="s">
        <v>46</v>
      </c>
      <c r="B87" s="5" t="s">
        <v>47</v>
      </c>
      <c r="C87" s="5" t="s">
        <v>170</v>
      </c>
      <c r="D87" s="5" t="s">
        <v>69</v>
      </c>
      <c r="E87" s="5" t="s">
        <v>174</v>
      </c>
      <c r="F87" s="5" t="n">
        <v>1</v>
      </c>
      <c r="G87" s="5" t="n">
        <v>1</v>
      </c>
      <c r="H87" s="5" t="n">
        <f aca="false">G87-F87</f>
        <v>0</v>
      </c>
      <c r="I87" s="5" t="n">
        <f aca="false">ABS(H87)</f>
        <v>0</v>
      </c>
      <c r="J87" s="5" t="n">
        <f aca="false">IF(I87=0,1,0)</f>
        <v>1</v>
      </c>
      <c r="K87" s="5" t="n">
        <f aca="false">IF(I87&lt;=1,1,0)</f>
        <v>1</v>
      </c>
      <c r="L87" s="5" t="s">
        <v>71</v>
      </c>
      <c r="M87" s="5" t="s">
        <v>172</v>
      </c>
    </row>
    <row r="88" customFormat="false" ht="15" hidden="false" customHeight="false" outlineLevel="0" collapsed="false">
      <c r="A88" s="5" t="s">
        <v>46</v>
      </c>
      <c r="B88" s="5" t="s">
        <v>47</v>
      </c>
      <c r="C88" s="5" t="s">
        <v>170</v>
      </c>
      <c r="D88" s="5" t="s">
        <v>107</v>
      </c>
      <c r="E88" s="5" t="s">
        <v>175</v>
      </c>
      <c r="F88" s="5" t="n">
        <v>0</v>
      </c>
      <c r="G88" s="5" t="n">
        <v>0</v>
      </c>
      <c r="H88" s="5" t="n">
        <f aca="false">G88-F88</f>
        <v>0</v>
      </c>
      <c r="I88" s="5" t="n">
        <f aca="false">ABS(H88)</f>
        <v>0</v>
      </c>
      <c r="J88" s="5" t="n">
        <f aca="false">IF(I88=0,1,0)</f>
        <v>1</v>
      </c>
      <c r="K88" s="5" t="n">
        <f aca="false">IF(I88&lt;=1,1,0)</f>
        <v>1</v>
      </c>
      <c r="L88" s="5" t="s">
        <v>71</v>
      </c>
      <c r="M88" s="5" t="s">
        <v>176</v>
      </c>
    </row>
    <row r="89" customFormat="false" ht="15" hidden="false" customHeight="false" outlineLevel="0" collapsed="false">
      <c r="A89" s="5" t="s">
        <v>46</v>
      </c>
      <c r="B89" s="5" t="s">
        <v>47</v>
      </c>
      <c r="C89" s="5" t="s">
        <v>170</v>
      </c>
      <c r="D89" s="5" t="s">
        <v>107</v>
      </c>
      <c r="E89" s="5" t="s">
        <v>177</v>
      </c>
      <c r="F89" s="5" t="n">
        <v>0</v>
      </c>
      <c r="G89" s="5" t="n">
        <v>0</v>
      </c>
      <c r="H89" s="5" t="n">
        <f aca="false">G89-F89</f>
        <v>0</v>
      </c>
      <c r="I89" s="5" t="n">
        <f aca="false">ABS(H89)</f>
        <v>0</v>
      </c>
      <c r="J89" s="5" t="n">
        <f aca="false">IF(I89=0,1,0)</f>
        <v>1</v>
      </c>
      <c r="K89" s="5" t="n">
        <f aca="false">IF(I89&lt;=1,1,0)</f>
        <v>1</v>
      </c>
      <c r="L89" s="5" t="s">
        <v>71</v>
      </c>
      <c r="M89" s="5" t="s">
        <v>176</v>
      </c>
    </row>
    <row r="90" customFormat="false" ht="15" hidden="false" customHeight="false" outlineLevel="0" collapsed="false">
      <c r="A90" s="16" t="s">
        <v>46</v>
      </c>
      <c r="B90" s="16" t="s">
        <v>47</v>
      </c>
      <c r="C90" s="16" t="s">
        <v>170</v>
      </c>
      <c r="D90" s="16" t="s">
        <v>107</v>
      </c>
      <c r="E90" s="16" t="s">
        <v>178</v>
      </c>
      <c r="F90" s="16" t="n">
        <v>3</v>
      </c>
      <c r="G90" s="16" t="n">
        <v>2</v>
      </c>
      <c r="H90" s="16" t="n">
        <f aca="false">G90-F90</f>
        <v>-1</v>
      </c>
      <c r="I90" s="16" t="n">
        <f aca="false">ABS(H90)</f>
        <v>1</v>
      </c>
      <c r="J90" s="16" t="n">
        <f aca="false">IF(I90=0,1,0)</f>
        <v>0</v>
      </c>
      <c r="K90" s="16" t="n">
        <f aca="false">IF(I90&lt;=1,1,0)</f>
        <v>1</v>
      </c>
      <c r="L90" s="16" t="s">
        <v>76</v>
      </c>
      <c r="M90" s="16" t="s">
        <v>176</v>
      </c>
    </row>
    <row r="91" customFormat="false" ht="15" hidden="false" customHeight="false" outlineLevel="0" collapsed="false">
      <c r="A91" s="5" t="s">
        <v>46</v>
      </c>
      <c r="B91" s="5" t="s">
        <v>47</v>
      </c>
      <c r="C91" s="5" t="s">
        <v>170</v>
      </c>
      <c r="D91" s="5" t="s">
        <v>107</v>
      </c>
      <c r="E91" s="5" t="s">
        <v>179</v>
      </c>
      <c r="F91" s="5" t="n">
        <v>1</v>
      </c>
      <c r="G91" s="5" t="n">
        <v>1</v>
      </c>
      <c r="H91" s="5" t="n">
        <f aca="false">G91-F91</f>
        <v>0</v>
      </c>
      <c r="I91" s="5" t="n">
        <f aca="false">ABS(H91)</f>
        <v>0</v>
      </c>
      <c r="J91" s="5" t="n">
        <f aca="false">IF(I91=0,1,0)</f>
        <v>1</v>
      </c>
      <c r="K91" s="5" t="n">
        <f aca="false">IF(I91&lt;=1,1,0)</f>
        <v>1</v>
      </c>
      <c r="L91" s="5" t="s">
        <v>71</v>
      </c>
      <c r="M91" s="5" t="s">
        <v>176</v>
      </c>
    </row>
    <row r="92" customFormat="false" ht="15" hidden="false" customHeight="false" outlineLevel="0" collapsed="false">
      <c r="A92" s="5" t="s">
        <v>46</v>
      </c>
      <c r="B92" s="5" t="s">
        <v>47</v>
      </c>
      <c r="C92" s="5" t="s">
        <v>170</v>
      </c>
      <c r="D92" s="5" t="s">
        <v>107</v>
      </c>
      <c r="E92" s="5" t="s">
        <v>180</v>
      </c>
      <c r="F92" s="5" t="n">
        <v>2</v>
      </c>
      <c r="G92" s="5" t="n">
        <v>2</v>
      </c>
      <c r="H92" s="5" t="n">
        <f aca="false">G92-F92</f>
        <v>0</v>
      </c>
      <c r="I92" s="5" t="n">
        <f aca="false">ABS(H92)</f>
        <v>0</v>
      </c>
      <c r="J92" s="5" t="n">
        <f aca="false">IF(I92=0,1,0)</f>
        <v>1</v>
      </c>
      <c r="K92" s="5" t="n">
        <f aca="false">IF(I92&lt;=1,1,0)</f>
        <v>1</v>
      </c>
      <c r="L92" s="5" t="s">
        <v>71</v>
      </c>
      <c r="M92" s="5" t="s">
        <v>176</v>
      </c>
    </row>
    <row r="93" customFormat="false" ht="15" hidden="false" customHeight="false" outlineLevel="0" collapsed="false">
      <c r="A93" s="16" t="s">
        <v>46</v>
      </c>
      <c r="B93" s="16" t="s">
        <v>47</v>
      </c>
      <c r="C93" s="16" t="s">
        <v>170</v>
      </c>
      <c r="D93" s="16" t="s">
        <v>107</v>
      </c>
      <c r="E93" s="16" t="s">
        <v>181</v>
      </c>
      <c r="F93" s="16" t="n">
        <v>1</v>
      </c>
      <c r="G93" s="16" t="n">
        <v>2</v>
      </c>
      <c r="H93" s="16" t="n">
        <f aca="false">G93-F93</f>
        <v>1</v>
      </c>
      <c r="I93" s="16" t="n">
        <f aca="false">ABS(H93)</f>
        <v>1</v>
      </c>
      <c r="J93" s="16" t="n">
        <f aca="false">IF(I93=0,1,0)</f>
        <v>0</v>
      </c>
      <c r="K93" s="16" t="n">
        <f aca="false">IF(I93&lt;=1,1,0)</f>
        <v>1</v>
      </c>
      <c r="L93" s="16" t="s">
        <v>76</v>
      </c>
      <c r="M93" s="16" t="s">
        <v>176</v>
      </c>
    </row>
    <row r="94" customFormat="false" ht="15" hidden="false" customHeight="false" outlineLevel="0" collapsed="false">
      <c r="A94" s="5" t="s">
        <v>46</v>
      </c>
      <c r="B94" s="5" t="s">
        <v>47</v>
      </c>
      <c r="C94" s="5" t="s">
        <v>170</v>
      </c>
      <c r="D94" s="5" t="s">
        <v>182</v>
      </c>
      <c r="E94" s="5" t="s">
        <v>183</v>
      </c>
      <c r="F94" s="5" t="n">
        <v>0</v>
      </c>
      <c r="G94" s="5" t="n">
        <v>0</v>
      </c>
      <c r="H94" s="5" t="n">
        <f aca="false">G94-F94</f>
        <v>0</v>
      </c>
      <c r="I94" s="5" t="n">
        <f aca="false">ABS(H94)</f>
        <v>0</v>
      </c>
      <c r="J94" s="5" t="n">
        <f aca="false">IF(I94=0,1,0)</f>
        <v>1</v>
      </c>
      <c r="K94" s="5" t="n">
        <f aca="false">IF(I94&lt;=1,1,0)</f>
        <v>1</v>
      </c>
      <c r="L94" s="5" t="s">
        <v>71</v>
      </c>
      <c r="M94" s="5" t="s">
        <v>184</v>
      </c>
    </row>
    <row r="95" customFormat="false" ht="15" hidden="false" customHeight="false" outlineLevel="0" collapsed="false">
      <c r="A95" s="5" t="s">
        <v>46</v>
      </c>
      <c r="B95" s="5" t="s">
        <v>47</v>
      </c>
      <c r="C95" s="5" t="s">
        <v>170</v>
      </c>
      <c r="D95" s="5" t="s">
        <v>182</v>
      </c>
      <c r="E95" s="5" t="s">
        <v>185</v>
      </c>
      <c r="F95" s="5" t="n">
        <v>2</v>
      </c>
      <c r="G95" s="5" t="n">
        <v>2</v>
      </c>
      <c r="H95" s="5" t="n">
        <f aca="false">G95-F95</f>
        <v>0</v>
      </c>
      <c r="I95" s="5" t="n">
        <f aca="false">ABS(H95)</f>
        <v>0</v>
      </c>
      <c r="J95" s="5" t="n">
        <f aca="false">IF(I95=0,1,0)</f>
        <v>1</v>
      </c>
      <c r="K95" s="5" t="n">
        <f aca="false">IF(I95&lt;=1,1,0)</f>
        <v>1</v>
      </c>
      <c r="L95" s="5" t="s">
        <v>71</v>
      </c>
      <c r="M95" s="5" t="s">
        <v>184</v>
      </c>
    </row>
    <row r="96" customFormat="false" ht="15" hidden="false" customHeight="false" outlineLevel="0" collapsed="false">
      <c r="A96" s="5" t="s">
        <v>46</v>
      </c>
      <c r="B96" s="5" t="s">
        <v>47</v>
      </c>
      <c r="C96" s="5" t="s">
        <v>170</v>
      </c>
      <c r="D96" s="5" t="s">
        <v>182</v>
      </c>
      <c r="E96" s="5" t="s">
        <v>186</v>
      </c>
      <c r="F96" s="5" t="n">
        <v>0</v>
      </c>
      <c r="G96" s="5" t="n">
        <v>0</v>
      </c>
      <c r="H96" s="5" t="n">
        <f aca="false">G96-F96</f>
        <v>0</v>
      </c>
      <c r="I96" s="5" t="n">
        <f aca="false">ABS(H96)</f>
        <v>0</v>
      </c>
      <c r="J96" s="5" t="n">
        <f aca="false">IF(I96=0,1,0)</f>
        <v>1</v>
      </c>
      <c r="K96" s="5" t="n">
        <f aca="false">IF(I96&lt;=1,1,0)</f>
        <v>1</v>
      </c>
      <c r="L96" s="5" t="s">
        <v>71</v>
      </c>
      <c r="M96" s="5" t="s">
        <v>184</v>
      </c>
    </row>
    <row r="97" customFormat="false" ht="15" hidden="false" customHeight="false" outlineLevel="0" collapsed="false">
      <c r="A97" s="5" t="s">
        <v>46</v>
      </c>
      <c r="B97" s="5" t="s">
        <v>47</v>
      </c>
      <c r="C97" s="5" t="s">
        <v>170</v>
      </c>
      <c r="D97" s="5" t="s">
        <v>182</v>
      </c>
      <c r="E97" s="5" t="s">
        <v>187</v>
      </c>
      <c r="F97" s="5" t="n">
        <v>0</v>
      </c>
      <c r="G97" s="5" t="n">
        <v>0</v>
      </c>
      <c r="H97" s="5" t="n">
        <f aca="false">G97-F97</f>
        <v>0</v>
      </c>
      <c r="I97" s="5" t="n">
        <f aca="false">ABS(H97)</f>
        <v>0</v>
      </c>
      <c r="J97" s="5" t="n">
        <f aca="false">IF(I97=0,1,0)</f>
        <v>1</v>
      </c>
      <c r="K97" s="5" t="n">
        <f aca="false">IF(I97&lt;=1,1,0)</f>
        <v>1</v>
      </c>
      <c r="L97" s="5" t="s">
        <v>71</v>
      </c>
      <c r="M97" s="5" t="s">
        <v>184</v>
      </c>
    </row>
    <row r="98" customFormat="false" ht="15" hidden="false" customHeight="false" outlineLevel="0" collapsed="false">
      <c r="A98" s="16" t="s">
        <v>46</v>
      </c>
      <c r="B98" s="16" t="s">
        <v>47</v>
      </c>
      <c r="C98" s="16" t="s">
        <v>170</v>
      </c>
      <c r="D98" s="16" t="s">
        <v>182</v>
      </c>
      <c r="E98" s="16" t="s">
        <v>188</v>
      </c>
      <c r="F98" s="16" t="n">
        <v>1</v>
      </c>
      <c r="G98" s="16" t="n">
        <v>2</v>
      </c>
      <c r="H98" s="16" t="n">
        <f aca="false">G98-F98</f>
        <v>1</v>
      </c>
      <c r="I98" s="16" t="n">
        <f aca="false">ABS(H98)</f>
        <v>1</v>
      </c>
      <c r="J98" s="16" t="n">
        <f aca="false">IF(I98=0,1,0)</f>
        <v>0</v>
      </c>
      <c r="K98" s="16" t="n">
        <f aca="false">IF(I98&lt;=1,1,0)</f>
        <v>1</v>
      </c>
      <c r="L98" s="16" t="s">
        <v>76</v>
      </c>
      <c r="M98" s="16" t="s">
        <v>184</v>
      </c>
    </row>
    <row r="99" customFormat="false" ht="15" hidden="false" customHeight="false" outlineLevel="0" collapsed="false">
      <c r="A99" s="5" t="s">
        <v>46</v>
      </c>
      <c r="B99" s="5" t="s">
        <v>47</v>
      </c>
      <c r="C99" s="5" t="s">
        <v>170</v>
      </c>
      <c r="D99" s="5" t="s">
        <v>114</v>
      </c>
      <c r="E99" s="5" t="s">
        <v>189</v>
      </c>
      <c r="F99" s="5" t="n">
        <v>0</v>
      </c>
      <c r="G99" s="5" t="n">
        <v>0</v>
      </c>
      <c r="H99" s="5" t="n">
        <f aca="false">G99-F99</f>
        <v>0</v>
      </c>
      <c r="I99" s="5" t="n">
        <f aca="false">ABS(H99)</f>
        <v>0</v>
      </c>
      <c r="J99" s="5" t="n">
        <f aca="false">IF(I99=0,1,0)</f>
        <v>1</v>
      </c>
      <c r="K99" s="5" t="n">
        <f aca="false">IF(I99&lt;=1,1,0)</f>
        <v>1</v>
      </c>
      <c r="L99" s="5" t="s">
        <v>71</v>
      </c>
      <c r="M99" s="5" t="s">
        <v>190</v>
      </c>
    </row>
    <row r="100" customFormat="false" ht="15" hidden="false" customHeight="false" outlineLevel="0" collapsed="false">
      <c r="A100" s="16" t="s">
        <v>46</v>
      </c>
      <c r="B100" s="16" t="s">
        <v>47</v>
      </c>
      <c r="C100" s="16" t="s">
        <v>170</v>
      </c>
      <c r="D100" s="16" t="s">
        <v>114</v>
      </c>
      <c r="E100" s="16" t="s">
        <v>191</v>
      </c>
      <c r="F100" s="16" t="n">
        <v>1</v>
      </c>
      <c r="G100" s="16" t="n">
        <v>0</v>
      </c>
      <c r="H100" s="16" t="n">
        <f aca="false">G100-F100</f>
        <v>-1</v>
      </c>
      <c r="I100" s="16" t="n">
        <f aca="false">ABS(H100)</f>
        <v>1</v>
      </c>
      <c r="J100" s="16" t="n">
        <f aca="false">IF(I100=0,1,0)</f>
        <v>0</v>
      </c>
      <c r="K100" s="16" t="n">
        <f aca="false">IF(I100&lt;=1,1,0)</f>
        <v>1</v>
      </c>
      <c r="L100" s="16" t="s">
        <v>76</v>
      </c>
      <c r="M100" s="16" t="s">
        <v>190</v>
      </c>
    </row>
    <row r="101" customFormat="false" ht="15" hidden="false" customHeight="false" outlineLevel="0" collapsed="false">
      <c r="A101" s="5" t="s">
        <v>46</v>
      </c>
      <c r="B101" s="5" t="s">
        <v>47</v>
      </c>
      <c r="C101" s="5" t="s">
        <v>170</v>
      </c>
      <c r="D101" s="5" t="s">
        <v>114</v>
      </c>
      <c r="E101" s="5" t="s">
        <v>192</v>
      </c>
      <c r="F101" s="5" t="n">
        <v>0</v>
      </c>
      <c r="G101" s="5" t="n">
        <v>0</v>
      </c>
      <c r="H101" s="5" t="n">
        <f aca="false">G101-F101</f>
        <v>0</v>
      </c>
      <c r="I101" s="5" t="n">
        <f aca="false">ABS(H101)</f>
        <v>0</v>
      </c>
      <c r="J101" s="5" t="n">
        <f aca="false">IF(I101=0,1,0)</f>
        <v>1</v>
      </c>
      <c r="K101" s="5" t="n">
        <f aca="false">IF(I101&lt;=1,1,0)</f>
        <v>1</v>
      </c>
      <c r="L101" s="5" t="s">
        <v>71</v>
      </c>
      <c r="M101" s="5" t="s">
        <v>190</v>
      </c>
    </row>
    <row r="102" customFormat="false" ht="15" hidden="false" customHeight="false" outlineLevel="0" collapsed="false">
      <c r="A102" s="5" t="s">
        <v>46</v>
      </c>
      <c r="B102" s="5" t="s">
        <v>47</v>
      </c>
      <c r="C102" s="5" t="s">
        <v>170</v>
      </c>
      <c r="D102" s="5" t="s">
        <v>114</v>
      </c>
      <c r="E102" s="5" t="s">
        <v>193</v>
      </c>
      <c r="F102" s="5" t="n">
        <v>0</v>
      </c>
      <c r="G102" s="5" t="n">
        <v>0</v>
      </c>
      <c r="H102" s="5" t="n">
        <f aca="false">G102-F102</f>
        <v>0</v>
      </c>
      <c r="I102" s="5" t="n">
        <f aca="false">ABS(H102)</f>
        <v>0</v>
      </c>
      <c r="J102" s="5" t="n">
        <f aca="false">IF(I102=0,1,0)</f>
        <v>1</v>
      </c>
      <c r="K102" s="5" t="n">
        <f aca="false">IF(I102&lt;=1,1,0)</f>
        <v>1</v>
      </c>
      <c r="L102" s="5" t="s">
        <v>71</v>
      </c>
      <c r="M102" s="5" t="s">
        <v>190</v>
      </c>
    </row>
    <row r="103" customFormat="false" ht="15" hidden="false" customHeight="false" outlineLevel="0" collapsed="false">
      <c r="A103" s="5" t="s">
        <v>46</v>
      </c>
      <c r="B103" s="5" t="s">
        <v>47</v>
      </c>
      <c r="C103" s="5" t="s">
        <v>170</v>
      </c>
      <c r="D103" s="5" t="s">
        <v>114</v>
      </c>
      <c r="E103" s="5" t="s">
        <v>194</v>
      </c>
      <c r="F103" s="5" t="n">
        <v>2</v>
      </c>
      <c r="G103" s="5" t="n">
        <v>2</v>
      </c>
      <c r="H103" s="5" t="n">
        <f aca="false">G103-F103</f>
        <v>0</v>
      </c>
      <c r="I103" s="5" t="n">
        <f aca="false">ABS(H103)</f>
        <v>0</v>
      </c>
      <c r="J103" s="5" t="n">
        <f aca="false">IF(I103=0,1,0)</f>
        <v>1</v>
      </c>
      <c r="K103" s="5" t="n">
        <f aca="false">IF(I103&lt;=1,1,0)</f>
        <v>1</v>
      </c>
      <c r="L103" s="5" t="s">
        <v>71</v>
      </c>
      <c r="M103" s="5" t="s">
        <v>190</v>
      </c>
    </row>
    <row r="104" customFormat="false" ht="15" hidden="false" customHeight="false" outlineLevel="0" collapsed="false">
      <c r="A104" s="5" t="s">
        <v>46</v>
      </c>
      <c r="B104" s="5" t="s">
        <v>47</v>
      </c>
      <c r="C104" s="5" t="s">
        <v>195</v>
      </c>
      <c r="D104" s="5" t="s">
        <v>196</v>
      </c>
      <c r="E104" s="5" t="s">
        <v>197</v>
      </c>
      <c r="F104" s="5" t="n">
        <v>0</v>
      </c>
      <c r="G104" s="5" t="n">
        <v>0</v>
      </c>
      <c r="H104" s="5" t="n">
        <f aca="false">G104-F104</f>
        <v>0</v>
      </c>
      <c r="I104" s="5" t="n">
        <f aca="false">ABS(H104)</f>
        <v>0</v>
      </c>
      <c r="J104" s="5" t="n">
        <f aca="false">IF(I104=0,1,0)</f>
        <v>1</v>
      </c>
      <c r="K104" s="5" t="n">
        <f aca="false">IF(I104&lt;=1,1,0)</f>
        <v>1</v>
      </c>
      <c r="L104" s="5" t="s">
        <v>71</v>
      </c>
      <c r="M104" s="5" t="s">
        <v>198</v>
      </c>
    </row>
    <row r="105" customFormat="false" ht="15" hidden="false" customHeight="false" outlineLevel="0" collapsed="false">
      <c r="A105" s="5" t="s">
        <v>46</v>
      </c>
      <c r="B105" s="5" t="s">
        <v>47</v>
      </c>
      <c r="C105" s="5" t="s">
        <v>195</v>
      </c>
      <c r="D105" s="5" t="s">
        <v>196</v>
      </c>
      <c r="E105" s="5" t="s">
        <v>199</v>
      </c>
      <c r="F105" s="5" t="n">
        <v>1</v>
      </c>
      <c r="G105" s="5" t="n">
        <v>1</v>
      </c>
      <c r="H105" s="5" t="n">
        <f aca="false">G105-F105</f>
        <v>0</v>
      </c>
      <c r="I105" s="5" t="n">
        <f aca="false">ABS(H105)</f>
        <v>0</v>
      </c>
      <c r="J105" s="5" t="n">
        <f aca="false">IF(I105=0,1,0)</f>
        <v>1</v>
      </c>
      <c r="K105" s="5" t="n">
        <f aca="false">IF(I105&lt;=1,1,0)</f>
        <v>1</v>
      </c>
      <c r="L105" s="5" t="s">
        <v>71</v>
      </c>
      <c r="M105" s="5" t="s">
        <v>198</v>
      </c>
    </row>
    <row r="106" customFormat="false" ht="15" hidden="false" customHeight="false" outlineLevel="0" collapsed="false">
      <c r="A106" s="16" t="s">
        <v>46</v>
      </c>
      <c r="B106" s="16" t="s">
        <v>47</v>
      </c>
      <c r="C106" s="16" t="s">
        <v>195</v>
      </c>
      <c r="D106" s="16" t="s">
        <v>196</v>
      </c>
      <c r="E106" s="16" t="s">
        <v>200</v>
      </c>
      <c r="F106" s="16" t="n">
        <v>0</v>
      </c>
      <c r="G106" s="16" t="n">
        <v>1</v>
      </c>
      <c r="H106" s="16" t="n">
        <f aca="false">G106-F106</f>
        <v>1</v>
      </c>
      <c r="I106" s="16" t="n">
        <f aca="false">ABS(H106)</f>
        <v>1</v>
      </c>
      <c r="J106" s="16" t="n">
        <f aca="false">IF(I106=0,1,0)</f>
        <v>0</v>
      </c>
      <c r="K106" s="16" t="n">
        <f aca="false">IF(I106&lt;=1,1,0)</f>
        <v>1</v>
      </c>
      <c r="L106" s="16" t="s">
        <v>76</v>
      </c>
      <c r="M106" s="16" t="s">
        <v>198</v>
      </c>
    </row>
    <row r="107" customFormat="false" ht="15" hidden="false" customHeight="false" outlineLevel="0" collapsed="false">
      <c r="A107" s="5" t="s">
        <v>46</v>
      </c>
      <c r="B107" s="5" t="s">
        <v>47</v>
      </c>
      <c r="C107" s="5" t="s">
        <v>195</v>
      </c>
      <c r="D107" s="5" t="s">
        <v>196</v>
      </c>
      <c r="E107" s="5" t="s">
        <v>201</v>
      </c>
      <c r="F107" s="5" t="n">
        <v>0</v>
      </c>
      <c r="G107" s="5" t="n">
        <v>0</v>
      </c>
      <c r="H107" s="5" t="n">
        <f aca="false">G107-F107</f>
        <v>0</v>
      </c>
      <c r="I107" s="5" t="n">
        <f aca="false">ABS(H107)</f>
        <v>0</v>
      </c>
      <c r="J107" s="5" t="n">
        <f aca="false">IF(I107=0,1,0)</f>
        <v>1</v>
      </c>
      <c r="K107" s="5" t="n">
        <f aca="false">IF(I107&lt;=1,1,0)</f>
        <v>1</v>
      </c>
      <c r="L107" s="5" t="s">
        <v>71</v>
      </c>
      <c r="M107" s="5" t="s">
        <v>198</v>
      </c>
    </row>
    <row r="108" customFormat="false" ht="15" hidden="false" customHeight="false" outlineLevel="0" collapsed="false">
      <c r="A108" s="16" t="s">
        <v>46</v>
      </c>
      <c r="B108" s="16" t="s">
        <v>47</v>
      </c>
      <c r="C108" s="16" t="s">
        <v>195</v>
      </c>
      <c r="D108" s="16" t="s">
        <v>202</v>
      </c>
      <c r="E108" s="16" t="s">
        <v>203</v>
      </c>
      <c r="F108" s="16" t="n">
        <v>1</v>
      </c>
      <c r="G108" s="16" t="n">
        <v>2</v>
      </c>
      <c r="H108" s="16" t="n">
        <f aca="false">G108-F108</f>
        <v>1</v>
      </c>
      <c r="I108" s="16" t="n">
        <f aca="false">ABS(H108)</f>
        <v>1</v>
      </c>
      <c r="J108" s="16" t="n">
        <f aca="false">IF(I108=0,1,0)</f>
        <v>0</v>
      </c>
      <c r="K108" s="16" t="n">
        <f aca="false">IF(I108&lt;=1,1,0)</f>
        <v>1</v>
      </c>
      <c r="L108" s="16" t="s">
        <v>76</v>
      </c>
      <c r="M108" s="16" t="s">
        <v>204</v>
      </c>
    </row>
    <row r="109" customFormat="false" ht="15" hidden="false" customHeight="false" outlineLevel="0" collapsed="false">
      <c r="A109" s="5" t="s">
        <v>46</v>
      </c>
      <c r="B109" s="5" t="s">
        <v>47</v>
      </c>
      <c r="C109" s="5" t="s">
        <v>195</v>
      </c>
      <c r="D109" s="5" t="s">
        <v>202</v>
      </c>
      <c r="E109" s="5" t="s">
        <v>205</v>
      </c>
      <c r="F109" s="5" t="n">
        <v>3</v>
      </c>
      <c r="G109" s="5" t="n">
        <v>3</v>
      </c>
      <c r="H109" s="5" t="n">
        <f aca="false">G109-F109</f>
        <v>0</v>
      </c>
      <c r="I109" s="5" t="n">
        <f aca="false">ABS(H109)</f>
        <v>0</v>
      </c>
      <c r="J109" s="5" t="n">
        <f aca="false">IF(I109=0,1,0)</f>
        <v>1</v>
      </c>
      <c r="K109" s="5" t="n">
        <f aca="false">IF(I109&lt;=1,1,0)</f>
        <v>1</v>
      </c>
      <c r="L109" s="5" t="s">
        <v>71</v>
      </c>
      <c r="M109" s="5" t="s">
        <v>204</v>
      </c>
    </row>
    <row r="110" customFormat="false" ht="15" hidden="false" customHeight="false" outlineLevel="0" collapsed="false">
      <c r="A110" s="5" t="s">
        <v>46</v>
      </c>
      <c r="B110" s="5" t="s">
        <v>47</v>
      </c>
      <c r="C110" s="5" t="s">
        <v>195</v>
      </c>
      <c r="D110" s="5" t="s">
        <v>202</v>
      </c>
      <c r="E110" s="5" t="s">
        <v>206</v>
      </c>
      <c r="F110" s="5" t="n">
        <v>3</v>
      </c>
      <c r="G110" s="5" t="n">
        <v>3</v>
      </c>
      <c r="H110" s="5" t="n">
        <f aca="false">G110-F110</f>
        <v>0</v>
      </c>
      <c r="I110" s="5" t="n">
        <f aca="false">ABS(H110)</f>
        <v>0</v>
      </c>
      <c r="J110" s="5" t="n">
        <f aca="false">IF(I110=0,1,0)</f>
        <v>1</v>
      </c>
      <c r="K110" s="5" t="n">
        <f aca="false">IF(I110&lt;=1,1,0)</f>
        <v>1</v>
      </c>
      <c r="L110" s="5" t="s">
        <v>71</v>
      </c>
      <c r="M110" s="5" t="s">
        <v>204</v>
      </c>
    </row>
    <row r="111" customFormat="false" ht="15" hidden="false" customHeight="false" outlineLevel="0" collapsed="false">
      <c r="A111" s="16" t="s">
        <v>46</v>
      </c>
      <c r="B111" s="16" t="s">
        <v>47</v>
      </c>
      <c r="C111" s="16" t="s">
        <v>195</v>
      </c>
      <c r="D111" s="16" t="s">
        <v>202</v>
      </c>
      <c r="E111" s="16" t="s">
        <v>207</v>
      </c>
      <c r="F111" s="16" t="n">
        <v>1</v>
      </c>
      <c r="G111" s="16" t="n">
        <v>2</v>
      </c>
      <c r="H111" s="16" t="n">
        <f aca="false">G111-F111</f>
        <v>1</v>
      </c>
      <c r="I111" s="16" t="n">
        <f aca="false">ABS(H111)</f>
        <v>1</v>
      </c>
      <c r="J111" s="16" t="n">
        <f aca="false">IF(I111=0,1,0)</f>
        <v>0</v>
      </c>
      <c r="K111" s="16" t="n">
        <f aca="false">IF(I111&lt;=1,1,0)</f>
        <v>1</v>
      </c>
      <c r="L111" s="16" t="s">
        <v>76</v>
      </c>
      <c r="M111" s="16" t="s">
        <v>204</v>
      </c>
    </row>
    <row r="112" customFormat="false" ht="15" hidden="false" customHeight="false" outlineLevel="0" collapsed="false">
      <c r="A112" s="5" t="s">
        <v>46</v>
      </c>
      <c r="B112" s="5" t="s">
        <v>47</v>
      </c>
      <c r="C112" s="5" t="s">
        <v>195</v>
      </c>
      <c r="D112" s="5" t="s">
        <v>202</v>
      </c>
      <c r="E112" s="5" t="s">
        <v>208</v>
      </c>
      <c r="F112" s="5" t="n">
        <v>3</v>
      </c>
      <c r="G112" s="5" t="n">
        <v>3</v>
      </c>
      <c r="H112" s="5" t="n">
        <f aca="false">G112-F112</f>
        <v>0</v>
      </c>
      <c r="I112" s="5" t="n">
        <f aca="false">ABS(H112)</f>
        <v>0</v>
      </c>
      <c r="J112" s="5" t="n">
        <f aca="false">IF(I112=0,1,0)</f>
        <v>1</v>
      </c>
      <c r="K112" s="5" t="n">
        <f aca="false">IF(I112&lt;=1,1,0)</f>
        <v>1</v>
      </c>
      <c r="L112" s="5" t="s">
        <v>71</v>
      </c>
      <c r="M112" s="5" t="s">
        <v>204</v>
      </c>
    </row>
    <row r="113" customFormat="false" ht="15" hidden="false" customHeight="false" outlineLevel="0" collapsed="false">
      <c r="A113" s="5" t="s">
        <v>46</v>
      </c>
      <c r="B113" s="5" t="s">
        <v>47</v>
      </c>
      <c r="C113" s="5" t="s">
        <v>195</v>
      </c>
      <c r="D113" s="5" t="s">
        <v>202</v>
      </c>
      <c r="E113" s="5" t="s">
        <v>209</v>
      </c>
      <c r="F113" s="5" t="n">
        <v>0</v>
      </c>
      <c r="G113" s="5" t="n">
        <v>0</v>
      </c>
      <c r="H113" s="5" t="n">
        <f aca="false">G113-F113</f>
        <v>0</v>
      </c>
      <c r="I113" s="5" t="n">
        <f aca="false">ABS(H113)</f>
        <v>0</v>
      </c>
      <c r="J113" s="5" t="n">
        <f aca="false">IF(I113=0,1,0)</f>
        <v>1</v>
      </c>
      <c r="K113" s="5" t="n">
        <f aca="false">IF(I113&lt;=1,1,0)</f>
        <v>1</v>
      </c>
      <c r="L113" s="5" t="s">
        <v>71</v>
      </c>
      <c r="M113" s="5" t="s">
        <v>204</v>
      </c>
    </row>
    <row r="114" customFormat="false" ht="15" hidden="false" customHeight="false" outlineLevel="0" collapsed="false">
      <c r="A114" s="16" t="s">
        <v>46</v>
      </c>
      <c r="B114" s="16" t="s">
        <v>47</v>
      </c>
      <c r="C114" s="16" t="s">
        <v>195</v>
      </c>
      <c r="D114" s="16" t="s">
        <v>202</v>
      </c>
      <c r="E114" s="16" t="s">
        <v>210</v>
      </c>
      <c r="F114" s="16" t="n">
        <v>0</v>
      </c>
      <c r="G114" s="16" t="n">
        <v>3</v>
      </c>
      <c r="H114" s="16" t="n">
        <f aca="false">G114-F114</f>
        <v>3</v>
      </c>
      <c r="I114" s="16" t="n">
        <f aca="false">ABS(H114)</f>
        <v>3</v>
      </c>
      <c r="J114" s="16" t="n">
        <f aca="false">IF(I114=0,1,0)</f>
        <v>0</v>
      </c>
      <c r="K114" s="16" t="n">
        <f aca="false">IF(I114&lt;=1,1,0)</f>
        <v>0</v>
      </c>
      <c r="L114" s="16" t="s">
        <v>76</v>
      </c>
      <c r="M114" s="16" t="s">
        <v>204</v>
      </c>
    </row>
    <row r="115" customFormat="false" ht="15" hidden="false" customHeight="false" outlineLevel="0" collapsed="false">
      <c r="A115" s="16" t="s">
        <v>46</v>
      </c>
      <c r="B115" s="16" t="s">
        <v>47</v>
      </c>
      <c r="C115" s="16" t="s">
        <v>195</v>
      </c>
      <c r="D115" s="16" t="s">
        <v>202</v>
      </c>
      <c r="E115" s="16" t="s">
        <v>211</v>
      </c>
      <c r="F115" s="16" t="n">
        <v>1</v>
      </c>
      <c r="G115" s="16" t="n">
        <v>2</v>
      </c>
      <c r="H115" s="16" t="n">
        <f aca="false">G115-F115</f>
        <v>1</v>
      </c>
      <c r="I115" s="16" t="n">
        <f aca="false">ABS(H115)</f>
        <v>1</v>
      </c>
      <c r="J115" s="16" t="n">
        <f aca="false">IF(I115=0,1,0)</f>
        <v>0</v>
      </c>
      <c r="K115" s="16" t="n">
        <f aca="false">IF(I115&lt;=1,1,0)</f>
        <v>1</v>
      </c>
      <c r="L115" s="16" t="s">
        <v>76</v>
      </c>
      <c r="M115" s="16" t="s">
        <v>204</v>
      </c>
    </row>
    <row r="116" customFormat="false" ht="15" hidden="false" customHeight="false" outlineLevel="0" collapsed="false">
      <c r="A116" s="5" t="s">
        <v>46</v>
      </c>
      <c r="B116" s="5" t="s">
        <v>47</v>
      </c>
      <c r="C116" s="5" t="s">
        <v>195</v>
      </c>
      <c r="D116" s="5" t="s">
        <v>202</v>
      </c>
      <c r="E116" s="5" t="s">
        <v>212</v>
      </c>
      <c r="F116" s="5" t="n">
        <v>0</v>
      </c>
      <c r="G116" s="5" t="n">
        <v>0</v>
      </c>
      <c r="H116" s="5" t="n">
        <f aca="false">G116-F116</f>
        <v>0</v>
      </c>
      <c r="I116" s="5" t="n">
        <f aca="false">ABS(H116)</f>
        <v>0</v>
      </c>
      <c r="J116" s="5" t="n">
        <f aca="false">IF(I116=0,1,0)</f>
        <v>1</v>
      </c>
      <c r="K116" s="5" t="n">
        <f aca="false">IF(I116&lt;=1,1,0)</f>
        <v>1</v>
      </c>
      <c r="L116" s="5" t="s">
        <v>71</v>
      </c>
      <c r="M116" s="5" t="s">
        <v>204</v>
      </c>
    </row>
    <row r="117" customFormat="false" ht="15" hidden="false" customHeight="false" outlineLevel="0" collapsed="false">
      <c r="A117" s="5" t="s">
        <v>46</v>
      </c>
      <c r="B117" s="5" t="s">
        <v>47</v>
      </c>
      <c r="C117" s="5" t="s">
        <v>195</v>
      </c>
      <c r="D117" s="5" t="s">
        <v>202</v>
      </c>
      <c r="E117" s="5" t="s">
        <v>213</v>
      </c>
      <c r="F117" s="5" t="n">
        <v>3</v>
      </c>
      <c r="G117" s="5" t="n">
        <v>3</v>
      </c>
      <c r="H117" s="5" t="n">
        <f aca="false">G117-F117</f>
        <v>0</v>
      </c>
      <c r="I117" s="5" t="n">
        <f aca="false">ABS(H117)</f>
        <v>0</v>
      </c>
      <c r="J117" s="5" t="n">
        <f aca="false">IF(I117=0,1,0)</f>
        <v>1</v>
      </c>
      <c r="K117" s="5" t="n">
        <f aca="false">IF(I117&lt;=1,1,0)</f>
        <v>1</v>
      </c>
      <c r="L117" s="5" t="s">
        <v>71</v>
      </c>
      <c r="M117" s="5" t="s">
        <v>204</v>
      </c>
    </row>
    <row r="118" customFormat="false" ht="15" hidden="false" customHeight="false" outlineLevel="0" collapsed="false">
      <c r="A118" s="5" t="s">
        <v>46</v>
      </c>
      <c r="B118" s="5" t="s">
        <v>47</v>
      </c>
      <c r="C118" s="5" t="s">
        <v>195</v>
      </c>
      <c r="D118" s="5" t="s">
        <v>202</v>
      </c>
      <c r="E118" s="5" t="s">
        <v>214</v>
      </c>
      <c r="F118" s="5" t="n">
        <v>0</v>
      </c>
      <c r="G118" s="5" t="n">
        <v>0</v>
      </c>
      <c r="H118" s="5" t="n">
        <f aca="false">G118-F118</f>
        <v>0</v>
      </c>
      <c r="I118" s="5" t="n">
        <f aca="false">ABS(H118)</f>
        <v>0</v>
      </c>
      <c r="J118" s="5" t="n">
        <f aca="false">IF(I118=0,1,0)</f>
        <v>1</v>
      </c>
      <c r="K118" s="5" t="n">
        <f aca="false">IF(I118&lt;=1,1,0)</f>
        <v>1</v>
      </c>
      <c r="L118" s="5" t="s">
        <v>71</v>
      </c>
      <c r="M118" s="5" t="s">
        <v>204</v>
      </c>
    </row>
    <row r="119" customFormat="false" ht="15" hidden="false" customHeight="false" outlineLevel="0" collapsed="false">
      <c r="A119" s="5" t="s">
        <v>46</v>
      </c>
      <c r="B119" s="5" t="s">
        <v>47</v>
      </c>
      <c r="C119" s="5" t="s">
        <v>195</v>
      </c>
      <c r="D119" s="5" t="s">
        <v>202</v>
      </c>
      <c r="E119" s="5" t="s">
        <v>215</v>
      </c>
      <c r="F119" s="5" t="n">
        <v>0</v>
      </c>
      <c r="G119" s="5" t="n">
        <v>0</v>
      </c>
      <c r="H119" s="5" t="n">
        <f aca="false">G119-F119</f>
        <v>0</v>
      </c>
      <c r="I119" s="5" t="n">
        <f aca="false">ABS(H119)</f>
        <v>0</v>
      </c>
      <c r="J119" s="5" t="n">
        <f aca="false">IF(I119=0,1,0)</f>
        <v>1</v>
      </c>
      <c r="K119" s="5" t="n">
        <f aca="false">IF(I119&lt;=1,1,0)</f>
        <v>1</v>
      </c>
      <c r="L119" s="5" t="s">
        <v>71</v>
      </c>
      <c r="M119" s="5" t="s">
        <v>204</v>
      </c>
    </row>
    <row r="120" customFormat="false" ht="15" hidden="false" customHeight="false" outlineLevel="0" collapsed="false">
      <c r="A120" s="5" t="s">
        <v>46</v>
      </c>
      <c r="B120" s="5" t="s">
        <v>47</v>
      </c>
      <c r="C120" s="5" t="s">
        <v>195</v>
      </c>
      <c r="D120" s="5" t="s">
        <v>202</v>
      </c>
      <c r="E120" s="5" t="s">
        <v>216</v>
      </c>
      <c r="F120" s="5" t="n">
        <v>0</v>
      </c>
      <c r="G120" s="5" t="n">
        <v>0</v>
      </c>
      <c r="H120" s="5" t="n">
        <f aca="false">G120-F120</f>
        <v>0</v>
      </c>
      <c r="I120" s="5" t="n">
        <f aca="false">ABS(H120)</f>
        <v>0</v>
      </c>
      <c r="J120" s="5" t="n">
        <f aca="false">IF(I120=0,1,0)</f>
        <v>1</v>
      </c>
      <c r="K120" s="5" t="n">
        <f aca="false">IF(I120&lt;=1,1,0)</f>
        <v>1</v>
      </c>
      <c r="L120" s="5" t="s">
        <v>71</v>
      </c>
      <c r="M120" s="5" t="s">
        <v>204</v>
      </c>
    </row>
    <row r="121" customFormat="false" ht="15" hidden="false" customHeight="false" outlineLevel="0" collapsed="false">
      <c r="A121" s="5" t="s">
        <v>46</v>
      </c>
      <c r="B121" s="5" t="s">
        <v>47</v>
      </c>
      <c r="C121" s="5" t="s">
        <v>195</v>
      </c>
      <c r="D121" s="5" t="s">
        <v>202</v>
      </c>
      <c r="E121" s="5" t="s">
        <v>217</v>
      </c>
      <c r="F121" s="5" t="n">
        <v>2</v>
      </c>
      <c r="G121" s="5" t="n">
        <v>2</v>
      </c>
      <c r="H121" s="5" t="n">
        <f aca="false">G121-F121</f>
        <v>0</v>
      </c>
      <c r="I121" s="5" t="n">
        <f aca="false">ABS(H121)</f>
        <v>0</v>
      </c>
      <c r="J121" s="5" t="n">
        <f aca="false">IF(I121=0,1,0)</f>
        <v>1</v>
      </c>
      <c r="K121" s="5" t="n">
        <f aca="false">IF(I121&lt;=1,1,0)</f>
        <v>1</v>
      </c>
      <c r="L121" s="5" t="s">
        <v>71</v>
      </c>
      <c r="M121" s="5" t="s">
        <v>204</v>
      </c>
    </row>
    <row r="122" customFormat="false" ht="15" hidden="false" customHeight="false" outlineLevel="0" collapsed="false">
      <c r="A122" s="5" t="s">
        <v>46</v>
      </c>
      <c r="B122" s="5" t="s">
        <v>47</v>
      </c>
      <c r="C122" s="5" t="s">
        <v>195</v>
      </c>
      <c r="D122" s="5" t="s">
        <v>202</v>
      </c>
      <c r="E122" s="5" t="s">
        <v>218</v>
      </c>
      <c r="F122" s="5" t="n">
        <v>0</v>
      </c>
      <c r="G122" s="5" t="n">
        <v>0</v>
      </c>
      <c r="H122" s="5" t="n">
        <f aca="false">G122-F122</f>
        <v>0</v>
      </c>
      <c r="I122" s="5" t="n">
        <f aca="false">ABS(H122)</f>
        <v>0</v>
      </c>
      <c r="J122" s="5" t="n">
        <f aca="false">IF(I122=0,1,0)</f>
        <v>1</v>
      </c>
      <c r="K122" s="5" t="n">
        <f aca="false">IF(I122&lt;=1,1,0)</f>
        <v>1</v>
      </c>
      <c r="L122" s="5" t="s">
        <v>71</v>
      </c>
      <c r="M122" s="5" t="s">
        <v>204</v>
      </c>
    </row>
    <row r="123" customFormat="false" ht="15" hidden="false" customHeight="false" outlineLevel="0" collapsed="false">
      <c r="A123" s="5" t="s">
        <v>46</v>
      </c>
      <c r="B123" s="5" t="s">
        <v>47</v>
      </c>
      <c r="C123" s="5" t="s">
        <v>195</v>
      </c>
      <c r="D123" s="5" t="s">
        <v>202</v>
      </c>
      <c r="E123" s="5" t="s">
        <v>219</v>
      </c>
      <c r="F123" s="5" t="n">
        <v>0</v>
      </c>
      <c r="G123" s="5" t="n">
        <v>0</v>
      </c>
      <c r="H123" s="5" t="n">
        <f aca="false">G123-F123</f>
        <v>0</v>
      </c>
      <c r="I123" s="5" t="n">
        <f aca="false">ABS(H123)</f>
        <v>0</v>
      </c>
      <c r="J123" s="5" t="n">
        <f aca="false">IF(I123=0,1,0)</f>
        <v>1</v>
      </c>
      <c r="K123" s="5" t="n">
        <f aca="false">IF(I123&lt;=1,1,0)</f>
        <v>1</v>
      </c>
      <c r="L123" s="5" t="s">
        <v>71</v>
      </c>
      <c r="M123" s="5" t="s">
        <v>204</v>
      </c>
    </row>
    <row r="124" customFormat="false" ht="15" hidden="false" customHeight="false" outlineLevel="0" collapsed="false">
      <c r="A124" s="5" t="s">
        <v>46</v>
      </c>
      <c r="B124" s="5" t="s">
        <v>47</v>
      </c>
      <c r="C124" s="5" t="s">
        <v>195</v>
      </c>
      <c r="D124" s="5" t="s">
        <v>202</v>
      </c>
      <c r="E124" s="5" t="s">
        <v>220</v>
      </c>
      <c r="F124" s="5" t="n">
        <v>0</v>
      </c>
      <c r="G124" s="5" t="n">
        <v>0</v>
      </c>
      <c r="H124" s="5" t="n">
        <f aca="false">G124-F124</f>
        <v>0</v>
      </c>
      <c r="I124" s="5" t="n">
        <f aca="false">ABS(H124)</f>
        <v>0</v>
      </c>
      <c r="J124" s="5" t="n">
        <f aca="false">IF(I124=0,1,0)</f>
        <v>1</v>
      </c>
      <c r="K124" s="5" t="n">
        <f aca="false">IF(I124&lt;=1,1,0)</f>
        <v>1</v>
      </c>
      <c r="L124" s="5" t="s">
        <v>71</v>
      </c>
      <c r="M124" s="5" t="s">
        <v>204</v>
      </c>
    </row>
    <row r="125" customFormat="false" ht="15" hidden="false" customHeight="false" outlineLevel="0" collapsed="false">
      <c r="A125" s="16" t="s">
        <v>46</v>
      </c>
      <c r="B125" s="16" t="s">
        <v>47</v>
      </c>
      <c r="C125" s="16" t="s">
        <v>195</v>
      </c>
      <c r="D125" s="16" t="s">
        <v>202</v>
      </c>
      <c r="E125" s="16" t="s">
        <v>221</v>
      </c>
      <c r="F125" s="16" t="n">
        <v>2</v>
      </c>
      <c r="G125" s="16" t="n">
        <v>0</v>
      </c>
      <c r="H125" s="16" t="n">
        <f aca="false">G125-F125</f>
        <v>-2</v>
      </c>
      <c r="I125" s="16" t="n">
        <f aca="false">ABS(H125)</f>
        <v>2</v>
      </c>
      <c r="J125" s="16" t="n">
        <f aca="false">IF(I125=0,1,0)</f>
        <v>0</v>
      </c>
      <c r="K125" s="16" t="n">
        <f aca="false">IF(I125&lt;=1,1,0)</f>
        <v>0</v>
      </c>
      <c r="L125" s="16" t="s">
        <v>76</v>
      </c>
      <c r="M125" s="16" t="s">
        <v>204</v>
      </c>
    </row>
    <row r="126" customFormat="false" ht="15" hidden="false" customHeight="false" outlineLevel="0" collapsed="false">
      <c r="A126" s="16" t="s">
        <v>46</v>
      </c>
      <c r="B126" s="16" t="s">
        <v>47</v>
      </c>
      <c r="C126" s="16" t="s">
        <v>195</v>
      </c>
      <c r="D126" s="16" t="s">
        <v>202</v>
      </c>
      <c r="E126" s="16" t="s">
        <v>222</v>
      </c>
      <c r="F126" s="16" t="n">
        <v>1</v>
      </c>
      <c r="G126" s="16" t="n">
        <v>2</v>
      </c>
      <c r="H126" s="16" t="n">
        <f aca="false">G126-F126</f>
        <v>1</v>
      </c>
      <c r="I126" s="16" t="n">
        <f aca="false">ABS(H126)</f>
        <v>1</v>
      </c>
      <c r="J126" s="16" t="n">
        <f aca="false">IF(I126=0,1,0)</f>
        <v>0</v>
      </c>
      <c r="K126" s="16" t="n">
        <f aca="false">IF(I126&lt;=1,1,0)</f>
        <v>1</v>
      </c>
      <c r="L126" s="16" t="s">
        <v>76</v>
      </c>
      <c r="M126" s="16" t="s">
        <v>204</v>
      </c>
    </row>
    <row r="127" customFormat="false" ht="15" hidden="false" customHeight="false" outlineLevel="0" collapsed="false">
      <c r="A127" s="5" t="s">
        <v>46</v>
      </c>
      <c r="B127" s="5" t="s">
        <v>47</v>
      </c>
      <c r="C127" s="5" t="s">
        <v>195</v>
      </c>
      <c r="D127" s="5" t="s">
        <v>202</v>
      </c>
      <c r="E127" s="5" t="s">
        <v>223</v>
      </c>
      <c r="F127" s="5" t="n">
        <v>3</v>
      </c>
      <c r="G127" s="5" t="n">
        <v>3</v>
      </c>
      <c r="H127" s="5" t="n">
        <f aca="false">G127-F127</f>
        <v>0</v>
      </c>
      <c r="I127" s="5" t="n">
        <f aca="false">ABS(H127)</f>
        <v>0</v>
      </c>
      <c r="J127" s="5" t="n">
        <f aca="false">IF(I127=0,1,0)</f>
        <v>1</v>
      </c>
      <c r="K127" s="5" t="n">
        <f aca="false">IF(I127&lt;=1,1,0)</f>
        <v>1</v>
      </c>
      <c r="L127" s="5" t="s">
        <v>71</v>
      </c>
      <c r="M127" s="5" t="s">
        <v>204</v>
      </c>
    </row>
    <row r="128" customFormat="false" ht="15" hidden="false" customHeight="false" outlineLevel="0" collapsed="false">
      <c r="A128" s="5" t="s">
        <v>48</v>
      </c>
      <c r="B128" s="5" t="s">
        <v>49</v>
      </c>
      <c r="C128" s="5" t="s">
        <v>68</v>
      </c>
      <c r="D128" s="5" t="s">
        <v>69</v>
      </c>
      <c r="E128" s="5" t="s">
        <v>70</v>
      </c>
      <c r="F128" s="5" t="n">
        <v>3</v>
      </c>
      <c r="G128" s="5" t="n">
        <v>3</v>
      </c>
      <c r="H128" s="5" t="n">
        <f aca="false">G128-F128</f>
        <v>0</v>
      </c>
      <c r="I128" s="5" t="n">
        <f aca="false">ABS(H128)</f>
        <v>0</v>
      </c>
      <c r="J128" s="5" t="n">
        <f aca="false">IF(I128=0,1,0)</f>
        <v>1</v>
      </c>
      <c r="K128" s="5" t="n">
        <f aca="false">IF(I128&lt;=1,1,0)</f>
        <v>1</v>
      </c>
      <c r="L128" s="5" t="s">
        <v>71</v>
      </c>
      <c r="M128" s="5" t="s">
        <v>224</v>
      </c>
    </row>
    <row r="129" customFormat="false" ht="15" hidden="false" customHeight="false" outlineLevel="0" collapsed="false">
      <c r="A129" s="5" t="s">
        <v>48</v>
      </c>
      <c r="B129" s="5" t="s">
        <v>49</v>
      </c>
      <c r="C129" s="5" t="s">
        <v>68</v>
      </c>
      <c r="D129" s="5" t="s">
        <v>69</v>
      </c>
      <c r="E129" s="5" t="s">
        <v>73</v>
      </c>
      <c r="F129" s="5" t="n">
        <v>3</v>
      </c>
      <c r="G129" s="5" t="n">
        <v>3</v>
      </c>
      <c r="H129" s="5" t="n">
        <f aca="false">G129-F129</f>
        <v>0</v>
      </c>
      <c r="I129" s="5" t="n">
        <f aca="false">ABS(H129)</f>
        <v>0</v>
      </c>
      <c r="J129" s="5" t="n">
        <f aca="false">IF(I129=0,1,0)</f>
        <v>1</v>
      </c>
      <c r="K129" s="5" t="n">
        <f aca="false">IF(I129&lt;=1,1,0)</f>
        <v>1</v>
      </c>
      <c r="L129" s="5" t="s">
        <v>71</v>
      </c>
      <c r="M129" s="5" t="s">
        <v>224</v>
      </c>
    </row>
    <row r="130" customFormat="false" ht="15" hidden="false" customHeight="false" outlineLevel="0" collapsed="false">
      <c r="A130" s="5" t="s">
        <v>48</v>
      </c>
      <c r="B130" s="5" t="s">
        <v>49</v>
      </c>
      <c r="C130" s="5" t="s">
        <v>68</v>
      </c>
      <c r="D130" s="5" t="s">
        <v>74</v>
      </c>
      <c r="E130" s="5" t="s">
        <v>75</v>
      </c>
      <c r="F130" s="5" t="n">
        <v>3</v>
      </c>
      <c r="G130" s="5" t="n">
        <v>3</v>
      </c>
      <c r="H130" s="5" t="n">
        <f aca="false">G130-F130</f>
        <v>0</v>
      </c>
      <c r="I130" s="5" t="n">
        <f aca="false">ABS(H130)</f>
        <v>0</v>
      </c>
      <c r="J130" s="5" t="n">
        <f aca="false">IF(I130=0,1,0)</f>
        <v>1</v>
      </c>
      <c r="K130" s="5" t="n">
        <f aca="false">IF(I130&lt;=1,1,0)</f>
        <v>1</v>
      </c>
      <c r="L130" s="5" t="s">
        <v>71</v>
      </c>
      <c r="M130" s="5" t="s">
        <v>225</v>
      </c>
    </row>
    <row r="131" customFormat="false" ht="15" hidden="false" customHeight="false" outlineLevel="0" collapsed="false">
      <c r="A131" s="5" t="s">
        <v>48</v>
      </c>
      <c r="B131" s="5" t="s">
        <v>49</v>
      </c>
      <c r="C131" s="5" t="s">
        <v>68</v>
      </c>
      <c r="D131" s="5" t="s">
        <v>74</v>
      </c>
      <c r="E131" s="5" t="s">
        <v>78</v>
      </c>
      <c r="F131" s="5" t="n">
        <v>2</v>
      </c>
      <c r="G131" s="5" t="n">
        <v>2</v>
      </c>
      <c r="H131" s="5" t="n">
        <f aca="false">G131-F131</f>
        <v>0</v>
      </c>
      <c r="I131" s="5" t="n">
        <f aca="false">ABS(H131)</f>
        <v>0</v>
      </c>
      <c r="J131" s="5" t="n">
        <f aca="false">IF(I131=0,1,0)</f>
        <v>1</v>
      </c>
      <c r="K131" s="5" t="n">
        <f aca="false">IF(I131&lt;=1,1,0)</f>
        <v>1</v>
      </c>
      <c r="L131" s="5" t="s">
        <v>71</v>
      </c>
      <c r="M131" s="5" t="s">
        <v>225</v>
      </c>
    </row>
    <row r="132" customFormat="false" ht="15" hidden="false" customHeight="false" outlineLevel="0" collapsed="false">
      <c r="A132" s="5" t="s">
        <v>48</v>
      </c>
      <c r="B132" s="5" t="s">
        <v>49</v>
      </c>
      <c r="C132" s="5" t="s">
        <v>68</v>
      </c>
      <c r="D132" s="5" t="s">
        <v>74</v>
      </c>
      <c r="E132" s="5" t="s">
        <v>79</v>
      </c>
      <c r="F132" s="5" t="n">
        <v>3</v>
      </c>
      <c r="G132" s="5" t="n">
        <v>3</v>
      </c>
      <c r="H132" s="5" t="n">
        <f aca="false">G132-F132</f>
        <v>0</v>
      </c>
      <c r="I132" s="5" t="n">
        <f aca="false">ABS(H132)</f>
        <v>0</v>
      </c>
      <c r="J132" s="5" t="n">
        <f aca="false">IF(I132=0,1,0)</f>
        <v>1</v>
      </c>
      <c r="K132" s="5" t="n">
        <f aca="false">IF(I132&lt;=1,1,0)</f>
        <v>1</v>
      </c>
      <c r="L132" s="5" t="s">
        <v>71</v>
      </c>
      <c r="M132" s="5" t="s">
        <v>225</v>
      </c>
    </row>
    <row r="133" customFormat="false" ht="15" hidden="false" customHeight="false" outlineLevel="0" collapsed="false">
      <c r="A133" s="16" t="s">
        <v>48</v>
      </c>
      <c r="B133" s="16" t="s">
        <v>49</v>
      </c>
      <c r="C133" s="16" t="s">
        <v>68</v>
      </c>
      <c r="D133" s="16" t="s">
        <v>74</v>
      </c>
      <c r="E133" s="16" t="s">
        <v>80</v>
      </c>
      <c r="F133" s="16" t="n">
        <v>0</v>
      </c>
      <c r="G133" s="16" t="n">
        <v>3</v>
      </c>
      <c r="H133" s="16" t="n">
        <f aca="false">G133-F133</f>
        <v>3</v>
      </c>
      <c r="I133" s="16" t="n">
        <f aca="false">ABS(H133)</f>
        <v>3</v>
      </c>
      <c r="J133" s="16" t="n">
        <f aca="false">IF(I133=0,1,0)</f>
        <v>0</v>
      </c>
      <c r="K133" s="16" t="n">
        <f aca="false">IF(I133&lt;=1,1,0)</f>
        <v>0</v>
      </c>
      <c r="L133" s="16" t="s">
        <v>76</v>
      </c>
      <c r="M133" s="16" t="s">
        <v>225</v>
      </c>
    </row>
    <row r="134" customFormat="false" ht="15" hidden="false" customHeight="false" outlineLevel="0" collapsed="false">
      <c r="A134" s="5" t="s">
        <v>48</v>
      </c>
      <c r="B134" s="5" t="s">
        <v>49</v>
      </c>
      <c r="C134" s="5" t="s">
        <v>68</v>
      </c>
      <c r="D134" s="5" t="s">
        <v>74</v>
      </c>
      <c r="E134" s="5" t="s">
        <v>81</v>
      </c>
      <c r="F134" s="5" t="n">
        <v>3</v>
      </c>
      <c r="G134" s="5" t="n">
        <v>3</v>
      </c>
      <c r="H134" s="5" t="n">
        <f aca="false">G134-F134</f>
        <v>0</v>
      </c>
      <c r="I134" s="5" t="n">
        <f aca="false">ABS(H134)</f>
        <v>0</v>
      </c>
      <c r="J134" s="5" t="n">
        <f aca="false">IF(I134=0,1,0)</f>
        <v>1</v>
      </c>
      <c r="K134" s="5" t="n">
        <f aca="false">IF(I134&lt;=1,1,0)</f>
        <v>1</v>
      </c>
      <c r="L134" s="5" t="s">
        <v>71</v>
      </c>
      <c r="M134" s="5" t="s">
        <v>225</v>
      </c>
    </row>
    <row r="135" customFormat="false" ht="15" hidden="false" customHeight="false" outlineLevel="0" collapsed="false">
      <c r="A135" s="16" t="s">
        <v>48</v>
      </c>
      <c r="B135" s="16" t="s">
        <v>49</v>
      </c>
      <c r="C135" s="16" t="s">
        <v>68</v>
      </c>
      <c r="D135" s="16" t="s">
        <v>82</v>
      </c>
      <c r="E135" s="16" t="s">
        <v>75</v>
      </c>
      <c r="F135" s="16" t="n">
        <v>3</v>
      </c>
      <c r="G135" s="16" t="n">
        <v>2</v>
      </c>
      <c r="H135" s="16" t="n">
        <f aca="false">G135-F135</f>
        <v>-1</v>
      </c>
      <c r="I135" s="16" t="n">
        <f aca="false">ABS(H135)</f>
        <v>1</v>
      </c>
      <c r="J135" s="16" t="n">
        <f aca="false">IF(I135=0,1,0)</f>
        <v>0</v>
      </c>
      <c r="K135" s="16" t="n">
        <f aca="false">IF(I135&lt;=1,1,0)</f>
        <v>1</v>
      </c>
      <c r="L135" s="16" t="s">
        <v>76</v>
      </c>
      <c r="M135" s="16" t="s">
        <v>226</v>
      </c>
    </row>
    <row r="136" customFormat="false" ht="15" hidden="false" customHeight="false" outlineLevel="0" collapsed="false">
      <c r="A136" s="16" t="s">
        <v>48</v>
      </c>
      <c r="B136" s="16" t="s">
        <v>49</v>
      </c>
      <c r="C136" s="16" t="s">
        <v>68</v>
      </c>
      <c r="D136" s="16" t="s">
        <v>82</v>
      </c>
      <c r="E136" s="16" t="s">
        <v>78</v>
      </c>
      <c r="F136" s="16" t="n">
        <v>1</v>
      </c>
      <c r="G136" s="16" t="n">
        <v>0</v>
      </c>
      <c r="H136" s="16" t="n">
        <f aca="false">G136-F136</f>
        <v>-1</v>
      </c>
      <c r="I136" s="16" t="n">
        <f aca="false">ABS(H136)</f>
        <v>1</v>
      </c>
      <c r="J136" s="16" t="n">
        <f aca="false">IF(I136=0,1,0)</f>
        <v>0</v>
      </c>
      <c r="K136" s="16" t="n">
        <f aca="false">IF(I136&lt;=1,1,0)</f>
        <v>1</v>
      </c>
      <c r="L136" s="16" t="s">
        <v>76</v>
      </c>
      <c r="M136" s="16" t="s">
        <v>226</v>
      </c>
    </row>
    <row r="137" customFormat="false" ht="15" hidden="false" customHeight="false" outlineLevel="0" collapsed="false">
      <c r="A137" s="5" t="s">
        <v>48</v>
      </c>
      <c r="B137" s="5" t="s">
        <v>49</v>
      </c>
      <c r="C137" s="5" t="s">
        <v>68</v>
      </c>
      <c r="D137" s="5" t="s">
        <v>82</v>
      </c>
      <c r="E137" s="5" t="s">
        <v>79</v>
      </c>
      <c r="F137" s="5" t="n">
        <v>3</v>
      </c>
      <c r="G137" s="5" t="n">
        <v>3</v>
      </c>
      <c r="H137" s="5" t="n">
        <f aca="false">G137-F137</f>
        <v>0</v>
      </c>
      <c r="I137" s="5" t="n">
        <f aca="false">ABS(H137)</f>
        <v>0</v>
      </c>
      <c r="J137" s="5" t="n">
        <f aca="false">IF(I137=0,1,0)</f>
        <v>1</v>
      </c>
      <c r="K137" s="5" t="n">
        <f aca="false">IF(I137&lt;=1,1,0)</f>
        <v>1</v>
      </c>
      <c r="L137" s="5" t="s">
        <v>71</v>
      </c>
      <c r="M137" s="5" t="s">
        <v>226</v>
      </c>
    </row>
    <row r="138" customFormat="false" ht="15" hidden="false" customHeight="false" outlineLevel="0" collapsed="false">
      <c r="A138" s="5" t="s">
        <v>48</v>
      </c>
      <c r="B138" s="5" t="s">
        <v>49</v>
      </c>
      <c r="C138" s="5" t="s">
        <v>68</v>
      </c>
      <c r="D138" s="5" t="s">
        <v>82</v>
      </c>
      <c r="E138" s="5" t="s">
        <v>80</v>
      </c>
      <c r="F138" s="5" t="n">
        <v>0</v>
      </c>
      <c r="G138" s="5" t="n">
        <v>0</v>
      </c>
      <c r="H138" s="5" t="n">
        <f aca="false">G138-F138</f>
        <v>0</v>
      </c>
      <c r="I138" s="5" t="n">
        <f aca="false">ABS(H138)</f>
        <v>0</v>
      </c>
      <c r="J138" s="5" t="n">
        <f aca="false">IF(I138=0,1,0)</f>
        <v>1</v>
      </c>
      <c r="K138" s="5" t="n">
        <f aca="false">IF(I138&lt;=1,1,0)</f>
        <v>1</v>
      </c>
      <c r="L138" s="5" t="s">
        <v>71</v>
      </c>
      <c r="M138" s="5" t="s">
        <v>226</v>
      </c>
    </row>
    <row r="139" customFormat="false" ht="15" hidden="false" customHeight="false" outlineLevel="0" collapsed="false">
      <c r="A139" s="16" t="s">
        <v>48</v>
      </c>
      <c r="B139" s="16" t="s">
        <v>49</v>
      </c>
      <c r="C139" s="16" t="s">
        <v>68</v>
      </c>
      <c r="D139" s="16" t="s">
        <v>82</v>
      </c>
      <c r="E139" s="16" t="s">
        <v>81</v>
      </c>
      <c r="F139" s="16" t="n">
        <v>2</v>
      </c>
      <c r="G139" s="16" t="n">
        <v>0</v>
      </c>
      <c r="H139" s="16" t="n">
        <f aca="false">G139-F139</f>
        <v>-2</v>
      </c>
      <c r="I139" s="16" t="n">
        <f aca="false">ABS(H139)</f>
        <v>2</v>
      </c>
      <c r="J139" s="16" t="n">
        <f aca="false">IF(I139=0,1,0)</f>
        <v>0</v>
      </c>
      <c r="K139" s="16" t="n">
        <f aca="false">IF(I139&lt;=1,1,0)</f>
        <v>0</v>
      </c>
      <c r="L139" s="16" t="s">
        <v>76</v>
      </c>
      <c r="M139" s="16" t="s">
        <v>226</v>
      </c>
    </row>
    <row r="140" customFormat="false" ht="15" hidden="false" customHeight="false" outlineLevel="0" collapsed="false">
      <c r="A140" s="5" t="s">
        <v>48</v>
      </c>
      <c r="B140" s="5" t="s">
        <v>49</v>
      </c>
      <c r="C140" s="5" t="s">
        <v>84</v>
      </c>
      <c r="D140" s="5" t="s">
        <v>69</v>
      </c>
      <c r="E140" s="5" t="s">
        <v>85</v>
      </c>
      <c r="F140" s="5" t="n">
        <v>3</v>
      </c>
      <c r="G140" s="5" t="n">
        <v>3</v>
      </c>
      <c r="H140" s="5" t="n">
        <f aca="false">G140-F140</f>
        <v>0</v>
      </c>
      <c r="I140" s="5" t="n">
        <f aca="false">ABS(H140)</f>
        <v>0</v>
      </c>
      <c r="J140" s="5" t="n">
        <f aca="false">IF(I140=0,1,0)</f>
        <v>1</v>
      </c>
      <c r="K140" s="5" t="n">
        <f aca="false">IF(I140&lt;=1,1,0)</f>
        <v>1</v>
      </c>
      <c r="L140" s="5" t="s">
        <v>71</v>
      </c>
      <c r="M140" s="5" t="s">
        <v>227</v>
      </c>
    </row>
    <row r="141" customFormat="false" ht="15" hidden="false" customHeight="false" outlineLevel="0" collapsed="false">
      <c r="A141" s="5" t="s">
        <v>48</v>
      </c>
      <c r="B141" s="5" t="s">
        <v>49</v>
      </c>
      <c r="C141" s="5" t="s">
        <v>84</v>
      </c>
      <c r="D141" s="5" t="s">
        <v>87</v>
      </c>
      <c r="E141" s="5" t="s">
        <v>88</v>
      </c>
      <c r="F141" s="5" t="n">
        <v>0</v>
      </c>
      <c r="G141" s="5" t="n">
        <v>0</v>
      </c>
      <c r="H141" s="5" t="n">
        <f aca="false">G141-F141</f>
        <v>0</v>
      </c>
      <c r="I141" s="5" t="n">
        <f aca="false">ABS(H141)</f>
        <v>0</v>
      </c>
      <c r="J141" s="5" t="n">
        <f aca="false">IF(I141=0,1,0)</f>
        <v>1</v>
      </c>
      <c r="K141" s="5" t="n">
        <f aca="false">IF(I141&lt;=1,1,0)</f>
        <v>1</v>
      </c>
      <c r="L141" s="5" t="s">
        <v>71</v>
      </c>
      <c r="M141" s="5" t="s">
        <v>228</v>
      </c>
    </row>
    <row r="142" customFormat="false" ht="15" hidden="false" customHeight="false" outlineLevel="0" collapsed="false">
      <c r="A142" s="5" t="s">
        <v>48</v>
      </c>
      <c r="B142" s="5" t="s">
        <v>49</v>
      </c>
      <c r="C142" s="5" t="s">
        <v>84</v>
      </c>
      <c r="D142" s="5" t="s">
        <v>87</v>
      </c>
      <c r="E142" s="5" t="s">
        <v>90</v>
      </c>
      <c r="F142" s="5" t="n">
        <v>2</v>
      </c>
      <c r="G142" s="5" t="n">
        <v>2</v>
      </c>
      <c r="H142" s="5" t="n">
        <f aca="false">G142-F142</f>
        <v>0</v>
      </c>
      <c r="I142" s="5" t="n">
        <f aca="false">ABS(H142)</f>
        <v>0</v>
      </c>
      <c r="J142" s="5" t="n">
        <f aca="false">IF(I142=0,1,0)</f>
        <v>1</v>
      </c>
      <c r="K142" s="5" t="n">
        <f aca="false">IF(I142&lt;=1,1,0)</f>
        <v>1</v>
      </c>
      <c r="L142" s="5" t="s">
        <v>71</v>
      </c>
      <c r="M142" s="5" t="s">
        <v>228</v>
      </c>
    </row>
    <row r="143" customFormat="false" ht="15" hidden="false" customHeight="false" outlineLevel="0" collapsed="false">
      <c r="A143" s="16" t="s">
        <v>48</v>
      </c>
      <c r="B143" s="16" t="s">
        <v>49</v>
      </c>
      <c r="C143" s="16" t="s">
        <v>84</v>
      </c>
      <c r="D143" s="16" t="s">
        <v>87</v>
      </c>
      <c r="E143" s="16" t="s">
        <v>91</v>
      </c>
      <c r="F143" s="16" t="n">
        <v>2</v>
      </c>
      <c r="G143" s="16" t="n">
        <v>0</v>
      </c>
      <c r="H143" s="16" t="n">
        <f aca="false">G143-F143</f>
        <v>-2</v>
      </c>
      <c r="I143" s="16" t="n">
        <f aca="false">ABS(H143)</f>
        <v>2</v>
      </c>
      <c r="J143" s="16" t="n">
        <f aca="false">IF(I143=0,1,0)</f>
        <v>0</v>
      </c>
      <c r="K143" s="16" t="n">
        <f aca="false">IF(I143&lt;=1,1,0)</f>
        <v>0</v>
      </c>
      <c r="L143" s="16" t="s">
        <v>76</v>
      </c>
      <c r="M143" s="16" t="s">
        <v>228</v>
      </c>
    </row>
    <row r="144" customFormat="false" ht="15" hidden="false" customHeight="false" outlineLevel="0" collapsed="false">
      <c r="A144" s="5" t="s">
        <v>48</v>
      </c>
      <c r="B144" s="5" t="s">
        <v>49</v>
      </c>
      <c r="C144" s="5" t="s">
        <v>84</v>
      </c>
      <c r="D144" s="5" t="s">
        <v>87</v>
      </c>
      <c r="E144" s="5" t="s">
        <v>92</v>
      </c>
      <c r="F144" s="5" t="n">
        <v>3</v>
      </c>
      <c r="G144" s="5" t="n">
        <v>3</v>
      </c>
      <c r="H144" s="5" t="n">
        <f aca="false">G144-F144</f>
        <v>0</v>
      </c>
      <c r="I144" s="5" t="n">
        <f aca="false">ABS(H144)</f>
        <v>0</v>
      </c>
      <c r="J144" s="5" t="n">
        <f aca="false">IF(I144=0,1,0)</f>
        <v>1</v>
      </c>
      <c r="K144" s="5" t="n">
        <f aca="false">IF(I144&lt;=1,1,0)</f>
        <v>1</v>
      </c>
      <c r="L144" s="5" t="s">
        <v>71</v>
      </c>
      <c r="M144" s="5" t="s">
        <v>228</v>
      </c>
    </row>
    <row r="145" customFormat="false" ht="15" hidden="false" customHeight="false" outlineLevel="0" collapsed="false">
      <c r="A145" s="16" t="s">
        <v>48</v>
      </c>
      <c r="B145" s="16" t="s">
        <v>49</v>
      </c>
      <c r="C145" s="16" t="s">
        <v>84</v>
      </c>
      <c r="D145" s="16" t="s">
        <v>87</v>
      </c>
      <c r="E145" s="16" t="s">
        <v>93</v>
      </c>
      <c r="F145" s="16" t="n">
        <v>1</v>
      </c>
      <c r="G145" s="16" t="n">
        <v>0</v>
      </c>
      <c r="H145" s="16" t="n">
        <f aca="false">G145-F145</f>
        <v>-1</v>
      </c>
      <c r="I145" s="16" t="n">
        <f aca="false">ABS(H145)</f>
        <v>1</v>
      </c>
      <c r="J145" s="16" t="n">
        <f aca="false">IF(I145=0,1,0)</f>
        <v>0</v>
      </c>
      <c r="K145" s="16" t="n">
        <f aca="false">IF(I145&lt;=1,1,0)</f>
        <v>1</v>
      </c>
      <c r="L145" s="16" t="s">
        <v>76</v>
      </c>
      <c r="M145" s="16" t="s">
        <v>228</v>
      </c>
    </row>
    <row r="146" customFormat="false" ht="15" hidden="false" customHeight="false" outlineLevel="0" collapsed="false">
      <c r="A146" s="5" t="s">
        <v>48</v>
      </c>
      <c r="B146" s="5" t="s">
        <v>49</v>
      </c>
      <c r="C146" s="5" t="s">
        <v>84</v>
      </c>
      <c r="D146" s="5" t="s">
        <v>87</v>
      </c>
      <c r="E146" s="5" t="s">
        <v>94</v>
      </c>
      <c r="F146" s="5" t="n">
        <v>3</v>
      </c>
      <c r="G146" s="5" t="n">
        <v>3</v>
      </c>
      <c r="H146" s="5" t="n">
        <f aca="false">G146-F146</f>
        <v>0</v>
      </c>
      <c r="I146" s="5" t="n">
        <f aca="false">ABS(H146)</f>
        <v>0</v>
      </c>
      <c r="J146" s="5" t="n">
        <f aca="false">IF(I146=0,1,0)</f>
        <v>1</v>
      </c>
      <c r="K146" s="5" t="n">
        <f aca="false">IF(I146&lt;=1,1,0)</f>
        <v>1</v>
      </c>
      <c r="L146" s="5" t="s">
        <v>71</v>
      </c>
      <c r="M146" s="5" t="s">
        <v>228</v>
      </c>
    </row>
    <row r="147" customFormat="false" ht="15" hidden="false" customHeight="false" outlineLevel="0" collapsed="false">
      <c r="A147" s="5" t="s">
        <v>48</v>
      </c>
      <c r="B147" s="5" t="s">
        <v>49</v>
      </c>
      <c r="C147" s="5" t="s">
        <v>84</v>
      </c>
      <c r="D147" s="5" t="s">
        <v>87</v>
      </c>
      <c r="E147" s="5" t="s">
        <v>95</v>
      </c>
      <c r="F147" s="5" t="n">
        <v>0</v>
      </c>
      <c r="G147" s="5" t="n">
        <v>0</v>
      </c>
      <c r="H147" s="5" t="n">
        <f aca="false">G147-F147</f>
        <v>0</v>
      </c>
      <c r="I147" s="5" t="n">
        <f aca="false">ABS(H147)</f>
        <v>0</v>
      </c>
      <c r="J147" s="5" t="n">
        <f aca="false">IF(I147=0,1,0)</f>
        <v>1</v>
      </c>
      <c r="K147" s="5" t="n">
        <f aca="false">IF(I147&lt;=1,1,0)</f>
        <v>1</v>
      </c>
      <c r="L147" s="5" t="s">
        <v>71</v>
      </c>
      <c r="M147" s="5" t="s">
        <v>228</v>
      </c>
    </row>
    <row r="148" customFormat="false" ht="15" hidden="false" customHeight="false" outlineLevel="0" collapsed="false">
      <c r="A148" s="5" t="s">
        <v>48</v>
      </c>
      <c r="B148" s="5" t="s">
        <v>49</v>
      </c>
      <c r="C148" s="5" t="s">
        <v>84</v>
      </c>
      <c r="D148" s="5" t="s">
        <v>96</v>
      </c>
      <c r="E148" s="5" t="s">
        <v>88</v>
      </c>
      <c r="F148" s="5" t="n">
        <v>2</v>
      </c>
      <c r="G148" s="5" t="n">
        <v>2</v>
      </c>
      <c r="H148" s="5" t="n">
        <f aca="false">G148-F148</f>
        <v>0</v>
      </c>
      <c r="I148" s="5" t="n">
        <f aca="false">ABS(H148)</f>
        <v>0</v>
      </c>
      <c r="J148" s="5" t="n">
        <f aca="false">IF(I148=0,1,0)</f>
        <v>1</v>
      </c>
      <c r="K148" s="5" t="n">
        <f aca="false">IF(I148&lt;=1,1,0)</f>
        <v>1</v>
      </c>
      <c r="L148" s="5" t="s">
        <v>71</v>
      </c>
      <c r="M148" s="5" t="s">
        <v>229</v>
      </c>
    </row>
    <row r="149" customFormat="false" ht="15" hidden="false" customHeight="false" outlineLevel="0" collapsed="false">
      <c r="A149" s="5" t="s">
        <v>48</v>
      </c>
      <c r="B149" s="5" t="s">
        <v>49</v>
      </c>
      <c r="C149" s="5" t="s">
        <v>84</v>
      </c>
      <c r="D149" s="5" t="s">
        <v>96</v>
      </c>
      <c r="E149" s="5" t="s">
        <v>98</v>
      </c>
      <c r="F149" s="5" t="n">
        <v>2</v>
      </c>
      <c r="G149" s="5" t="n">
        <v>2</v>
      </c>
      <c r="H149" s="5" t="n">
        <f aca="false">G149-F149</f>
        <v>0</v>
      </c>
      <c r="I149" s="5" t="n">
        <f aca="false">ABS(H149)</f>
        <v>0</v>
      </c>
      <c r="J149" s="5" t="n">
        <f aca="false">IF(I149=0,1,0)</f>
        <v>1</v>
      </c>
      <c r="K149" s="5" t="n">
        <f aca="false">IF(I149&lt;=1,1,0)</f>
        <v>1</v>
      </c>
      <c r="L149" s="5" t="s">
        <v>71</v>
      </c>
      <c r="M149" s="5" t="s">
        <v>229</v>
      </c>
    </row>
    <row r="150" customFormat="false" ht="15" hidden="false" customHeight="false" outlineLevel="0" collapsed="false">
      <c r="A150" s="5" t="s">
        <v>48</v>
      </c>
      <c r="B150" s="5" t="s">
        <v>49</v>
      </c>
      <c r="C150" s="5" t="s">
        <v>84</v>
      </c>
      <c r="D150" s="5" t="s">
        <v>96</v>
      </c>
      <c r="E150" s="5" t="s">
        <v>99</v>
      </c>
      <c r="F150" s="5" t="n">
        <v>3</v>
      </c>
      <c r="G150" s="5" t="n">
        <v>3</v>
      </c>
      <c r="H150" s="5" t="n">
        <f aca="false">G150-F150</f>
        <v>0</v>
      </c>
      <c r="I150" s="5" t="n">
        <f aca="false">ABS(H150)</f>
        <v>0</v>
      </c>
      <c r="J150" s="5" t="n">
        <f aca="false">IF(I150=0,1,0)</f>
        <v>1</v>
      </c>
      <c r="K150" s="5" t="n">
        <f aca="false">IF(I150&lt;=1,1,0)</f>
        <v>1</v>
      </c>
      <c r="L150" s="5" t="s">
        <v>71</v>
      </c>
      <c r="M150" s="5" t="s">
        <v>229</v>
      </c>
    </row>
    <row r="151" customFormat="false" ht="15" hidden="false" customHeight="false" outlineLevel="0" collapsed="false">
      <c r="A151" s="5" t="s">
        <v>48</v>
      </c>
      <c r="B151" s="5" t="s">
        <v>49</v>
      </c>
      <c r="C151" s="5" t="s">
        <v>84</v>
      </c>
      <c r="D151" s="5" t="s">
        <v>96</v>
      </c>
      <c r="E151" s="5" t="s">
        <v>93</v>
      </c>
      <c r="F151" s="5" t="n">
        <v>2</v>
      </c>
      <c r="G151" s="5" t="n">
        <v>2</v>
      </c>
      <c r="H151" s="5" t="n">
        <f aca="false">G151-F151</f>
        <v>0</v>
      </c>
      <c r="I151" s="5" t="n">
        <f aca="false">ABS(H151)</f>
        <v>0</v>
      </c>
      <c r="J151" s="5" t="n">
        <f aca="false">IF(I151=0,1,0)</f>
        <v>1</v>
      </c>
      <c r="K151" s="5" t="n">
        <f aca="false">IF(I151&lt;=1,1,0)</f>
        <v>1</v>
      </c>
      <c r="L151" s="5" t="s">
        <v>71</v>
      </c>
      <c r="M151" s="5" t="s">
        <v>229</v>
      </c>
    </row>
    <row r="152" customFormat="false" ht="15" hidden="false" customHeight="false" outlineLevel="0" collapsed="false">
      <c r="A152" s="5" t="s">
        <v>48</v>
      </c>
      <c r="B152" s="5" t="s">
        <v>49</v>
      </c>
      <c r="C152" s="5" t="s">
        <v>84</v>
      </c>
      <c r="D152" s="5" t="s">
        <v>96</v>
      </c>
      <c r="E152" s="5" t="s">
        <v>95</v>
      </c>
      <c r="F152" s="5" t="n">
        <v>2</v>
      </c>
      <c r="G152" s="5" t="n">
        <v>2</v>
      </c>
      <c r="H152" s="5" t="n">
        <f aca="false">G152-F152</f>
        <v>0</v>
      </c>
      <c r="I152" s="5" t="n">
        <f aca="false">ABS(H152)</f>
        <v>0</v>
      </c>
      <c r="J152" s="5" t="n">
        <f aca="false">IF(I152=0,1,0)</f>
        <v>1</v>
      </c>
      <c r="K152" s="5" t="n">
        <f aca="false">IF(I152&lt;=1,1,0)</f>
        <v>1</v>
      </c>
      <c r="L152" s="5" t="s">
        <v>71</v>
      </c>
      <c r="M152" s="5" t="s">
        <v>229</v>
      </c>
    </row>
    <row r="153" customFormat="false" ht="15" hidden="false" customHeight="false" outlineLevel="0" collapsed="false">
      <c r="A153" s="5" t="s">
        <v>48</v>
      </c>
      <c r="B153" s="5" t="s">
        <v>49</v>
      </c>
      <c r="C153" s="5" t="s">
        <v>100</v>
      </c>
      <c r="D153" s="5" t="s">
        <v>69</v>
      </c>
      <c r="E153" s="5" t="s">
        <v>101</v>
      </c>
      <c r="F153" s="5" t="n">
        <v>3</v>
      </c>
      <c r="G153" s="5" t="n">
        <v>3</v>
      </c>
      <c r="H153" s="5" t="n">
        <f aca="false">G153-F153</f>
        <v>0</v>
      </c>
      <c r="I153" s="5" t="n">
        <f aca="false">ABS(H153)</f>
        <v>0</v>
      </c>
      <c r="J153" s="5" t="n">
        <f aca="false">IF(I153=0,1,0)</f>
        <v>1</v>
      </c>
      <c r="K153" s="5" t="n">
        <f aca="false">IF(I153&lt;=1,1,0)</f>
        <v>1</v>
      </c>
      <c r="L153" s="5" t="s">
        <v>71</v>
      </c>
      <c r="M153" s="5" t="s">
        <v>230</v>
      </c>
    </row>
    <row r="154" customFormat="false" ht="15" hidden="false" customHeight="false" outlineLevel="0" collapsed="false">
      <c r="A154" s="5" t="s">
        <v>48</v>
      </c>
      <c r="B154" s="5" t="s">
        <v>49</v>
      </c>
      <c r="C154" s="5" t="s">
        <v>100</v>
      </c>
      <c r="D154" s="5" t="s">
        <v>69</v>
      </c>
      <c r="E154" s="5" t="s">
        <v>231</v>
      </c>
      <c r="F154" s="5" t="n">
        <v>3</v>
      </c>
      <c r="G154" s="5" t="n">
        <v>3</v>
      </c>
      <c r="H154" s="5" t="n">
        <f aca="false">G154-F154</f>
        <v>0</v>
      </c>
      <c r="I154" s="5" t="n">
        <f aca="false">ABS(H154)</f>
        <v>0</v>
      </c>
      <c r="J154" s="5" t="n">
        <f aca="false">IF(I154=0,1,0)</f>
        <v>1</v>
      </c>
      <c r="K154" s="5" t="n">
        <f aca="false">IF(I154&lt;=1,1,0)</f>
        <v>1</v>
      </c>
      <c r="L154" s="5" t="s">
        <v>71</v>
      </c>
      <c r="M154" s="5" t="s">
        <v>230</v>
      </c>
    </row>
    <row r="155" customFormat="false" ht="15" hidden="false" customHeight="false" outlineLevel="0" collapsed="false">
      <c r="A155" s="5" t="s">
        <v>48</v>
      </c>
      <c r="B155" s="5" t="s">
        <v>49</v>
      </c>
      <c r="C155" s="5" t="s">
        <v>100</v>
      </c>
      <c r="D155" s="5" t="s">
        <v>69</v>
      </c>
      <c r="E155" s="5" t="s">
        <v>103</v>
      </c>
      <c r="F155" s="5" t="n">
        <v>2</v>
      </c>
      <c r="G155" s="5" t="n">
        <v>2</v>
      </c>
      <c r="H155" s="5" t="n">
        <f aca="false">G155-F155</f>
        <v>0</v>
      </c>
      <c r="I155" s="5" t="n">
        <f aca="false">ABS(H155)</f>
        <v>0</v>
      </c>
      <c r="J155" s="5" t="n">
        <f aca="false">IF(I155=0,1,0)</f>
        <v>1</v>
      </c>
      <c r="K155" s="5" t="n">
        <f aca="false">IF(I155&lt;=1,1,0)</f>
        <v>1</v>
      </c>
      <c r="L155" s="5" t="s">
        <v>71</v>
      </c>
      <c r="M155" s="5" t="s">
        <v>230</v>
      </c>
    </row>
    <row r="156" customFormat="false" ht="15" hidden="false" customHeight="false" outlineLevel="0" collapsed="false">
      <c r="A156" s="5" t="s">
        <v>48</v>
      </c>
      <c r="B156" s="5" t="s">
        <v>49</v>
      </c>
      <c r="C156" s="5" t="s">
        <v>100</v>
      </c>
      <c r="D156" s="5" t="s">
        <v>69</v>
      </c>
      <c r="E156" s="5" t="s">
        <v>104</v>
      </c>
      <c r="F156" s="5" t="n">
        <v>2</v>
      </c>
      <c r="G156" s="5" t="n">
        <v>2</v>
      </c>
      <c r="H156" s="5" t="n">
        <f aca="false">G156-F156</f>
        <v>0</v>
      </c>
      <c r="I156" s="5" t="n">
        <f aca="false">ABS(H156)</f>
        <v>0</v>
      </c>
      <c r="J156" s="5" t="n">
        <f aca="false">IF(I156=0,1,0)</f>
        <v>1</v>
      </c>
      <c r="K156" s="5" t="n">
        <f aca="false">IF(I156&lt;=1,1,0)</f>
        <v>1</v>
      </c>
      <c r="L156" s="5" t="s">
        <v>71</v>
      </c>
      <c r="M156" s="5" t="s">
        <v>230</v>
      </c>
    </row>
    <row r="157" customFormat="false" ht="15" hidden="false" customHeight="false" outlineLevel="0" collapsed="false">
      <c r="A157" s="5" t="s">
        <v>48</v>
      </c>
      <c r="B157" s="5" t="s">
        <v>49</v>
      </c>
      <c r="C157" s="5" t="s">
        <v>100</v>
      </c>
      <c r="D157" s="5" t="s">
        <v>69</v>
      </c>
      <c r="E157" s="5" t="s">
        <v>105</v>
      </c>
      <c r="F157" s="5" t="n">
        <v>3</v>
      </c>
      <c r="G157" s="5" t="n">
        <v>3</v>
      </c>
      <c r="H157" s="5" t="n">
        <f aca="false">G157-F157</f>
        <v>0</v>
      </c>
      <c r="I157" s="5" t="n">
        <f aca="false">ABS(H157)</f>
        <v>0</v>
      </c>
      <c r="J157" s="5" t="n">
        <f aca="false">IF(I157=0,1,0)</f>
        <v>1</v>
      </c>
      <c r="K157" s="5" t="n">
        <f aca="false">IF(I157&lt;=1,1,0)</f>
        <v>1</v>
      </c>
      <c r="L157" s="5" t="s">
        <v>71</v>
      </c>
      <c r="M157" s="5" t="s">
        <v>230</v>
      </c>
    </row>
    <row r="158" customFormat="false" ht="15" hidden="false" customHeight="false" outlineLevel="0" collapsed="false">
      <c r="A158" s="5" t="s">
        <v>48</v>
      </c>
      <c r="B158" s="5" t="s">
        <v>49</v>
      </c>
      <c r="C158" s="5" t="s">
        <v>100</v>
      </c>
      <c r="D158" s="5" t="s">
        <v>107</v>
      </c>
      <c r="E158" s="5" t="s">
        <v>232</v>
      </c>
      <c r="F158" s="5" t="n">
        <v>2</v>
      </c>
      <c r="G158" s="5" t="n">
        <v>2</v>
      </c>
      <c r="H158" s="5" t="n">
        <f aca="false">G158-F158</f>
        <v>0</v>
      </c>
      <c r="I158" s="5" t="n">
        <f aca="false">ABS(H158)</f>
        <v>0</v>
      </c>
      <c r="J158" s="5" t="n">
        <f aca="false">IF(I158=0,1,0)</f>
        <v>1</v>
      </c>
      <c r="K158" s="5" t="n">
        <f aca="false">IF(I158&lt;=1,1,0)</f>
        <v>1</v>
      </c>
      <c r="L158" s="5" t="s">
        <v>71</v>
      </c>
      <c r="M158" s="5" t="s">
        <v>233</v>
      </c>
    </row>
    <row r="159" customFormat="false" ht="15" hidden="false" customHeight="false" outlineLevel="0" collapsed="false">
      <c r="A159" s="5" t="s">
        <v>48</v>
      </c>
      <c r="B159" s="5" t="s">
        <v>49</v>
      </c>
      <c r="C159" s="5" t="s">
        <v>100</v>
      </c>
      <c r="D159" s="5" t="s">
        <v>107</v>
      </c>
      <c r="E159" s="5" t="s">
        <v>234</v>
      </c>
      <c r="F159" s="5" t="n">
        <v>2</v>
      </c>
      <c r="G159" s="5" t="n">
        <v>2</v>
      </c>
      <c r="H159" s="5" t="n">
        <f aca="false">G159-F159</f>
        <v>0</v>
      </c>
      <c r="I159" s="5" t="n">
        <f aca="false">ABS(H159)</f>
        <v>0</v>
      </c>
      <c r="J159" s="5" t="n">
        <f aca="false">IF(I159=0,1,0)</f>
        <v>1</v>
      </c>
      <c r="K159" s="5" t="n">
        <f aca="false">IF(I159&lt;=1,1,0)</f>
        <v>1</v>
      </c>
      <c r="L159" s="5" t="s">
        <v>71</v>
      </c>
      <c r="M159" s="5" t="s">
        <v>233</v>
      </c>
    </row>
    <row r="160" customFormat="false" ht="15" hidden="false" customHeight="false" outlineLevel="0" collapsed="false">
      <c r="A160" s="5" t="s">
        <v>48</v>
      </c>
      <c r="B160" s="5" t="s">
        <v>49</v>
      </c>
      <c r="C160" s="5" t="s">
        <v>100</v>
      </c>
      <c r="D160" s="5" t="s">
        <v>107</v>
      </c>
      <c r="E160" s="5" t="s">
        <v>108</v>
      </c>
      <c r="F160" s="5" t="n">
        <v>1</v>
      </c>
      <c r="G160" s="5" t="n">
        <v>1</v>
      </c>
      <c r="H160" s="5" t="n">
        <f aca="false">G160-F160</f>
        <v>0</v>
      </c>
      <c r="I160" s="5" t="n">
        <f aca="false">ABS(H160)</f>
        <v>0</v>
      </c>
      <c r="J160" s="5" t="n">
        <f aca="false">IF(I160=0,1,0)</f>
        <v>1</v>
      </c>
      <c r="K160" s="5" t="n">
        <f aca="false">IF(I160&lt;=1,1,0)</f>
        <v>1</v>
      </c>
      <c r="L160" s="5" t="s">
        <v>71</v>
      </c>
      <c r="M160" s="5" t="s">
        <v>233</v>
      </c>
    </row>
    <row r="161" customFormat="false" ht="15" hidden="false" customHeight="false" outlineLevel="0" collapsed="false">
      <c r="A161" s="5" t="s">
        <v>48</v>
      </c>
      <c r="B161" s="5" t="s">
        <v>49</v>
      </c>
      <c r="C161" s="5" t="s">
        <v>100</v>
      </c>
      <c r="D161" s="5" t="s">
        <v>107</v>
      </c>
      <c r="E161" s="5" t="s">
        <v>235</v>
      </c>
      <c r="F161" s="5" t="n">
        <v>1</v>
      </c>
      <c r="G161" s="5" t="n">
        <v>1</v>
      </c>
      <c r="H161" s="5" t="n">
        <f aca="false">G161-F161</f>
        <v>0</v>
      </c>
      <c r="I161" s="5" t="n">
        <f aca="false">ABS(H161)</f>
        <v>0</v>
      </c>
      <c r="J161" s="5" t="n">
        <f aca="false">IF(I161=0,1,0)</f>
        <v>1</v>
      </c>
      <c r="K161" s="5" t="n">
        <f aca="false">IF(I161&lt;=1,1,0)</f>
        <v>1</v>
      </c>
      <c r="L161" s="5" t="s">
        <v>71</v>
      </c>
      <c r="M161" s="5" t="s">
        <v>233</v>
      </c>
    </row>
    <row r="162" customFormat="false" ht="15" hidden="false" customHeight="false" outlineLevel="0" collapsed="false">
      <c r="A162" s="5" t="s">
        <v>48</v>
      </c>
      <c r="B162" s="5" t="s">
        <v>49</v>
      </c>
      <c r="C162" s="5" t="s">
        <v>100</v>
      </c>
      <c r="D162" s="5" t="s">
        <v>107</v>
      </c>
      <c r="E162" s="5" t="s">
        <v>236</v>
      </c>
      <c r="F162" s="5" t="n">
        <v>2</v>
      </c>
      <c r="G162" s="5" t="n">
        <v>2</v>
      </c>
      <c r="H162" s="5" t="n">
        <f aca="false">G162-F162</f>
        <v>0</v>
      </c>
      <c r="I162" s="5" t="n">
        <f aca="false">ABS(H162)</f>
        <v>0</v>
      </c>
      <c r="J162" s="5" t="n">
        <f aca="false">IF(I162=0,1,0)</f>
        <v>1</v>
      </c>
      <c r="K162" s="5" t="n">
        <f aca="false">IF(I162&lt;=1,1,0)</f>
        <v>1</v>
      </c>
      <c r="L162" s="5" t="s">
        <v>71</v>
      </c>
      <c r="M162" s="5" t="s">
        <v>233</v>
      </c>
    </row>
    <row r="163" customFormat="false" ht="15" hidden="false" customHeight="false" outlineLevel="0" collapsed="false">
      <c r="A163" s="5" t="s">
        <v>48</v>
      </c>
      <c r="B163" s="5" t="s">
        <v>49</v>
      </c>
      <c r="C163" s="5" t="s">
        <v>100</v>
      </c>
      <c r="D163" s="5" t="s">
        <v>107</v>
      </c>
      <c r="E163" s="5" t="s">
        <v>110</v>
      </c>
      <c r="F163" s="5" t="n">
        <v>3</v>
      </c>
      <c r="G163" s="5" t="n">
        <v>3</v>
      </c>
      <c r="H163" s="5" t="n">
        <f aca="false">G163-F163</f>
        <v>0</v>
      </c>
      <c r="I163" s="5" t="n">
        <f aca="false">ABS(H163)</f>
        <v>0</v>
      </c>
      <c r="J163" s="5" t="n">
        <f aca="false">IF(I163=0,1,0)</f>
        <v>1</v>
      </c>
      <c r="K163" s="5" t="n">
        <f aca="false">IF(I163&lt;=1,1,0)</f>
        <v>1</v>
      </c>
      <c r="L163" s="5" t="s">
        <v>71</v>
      </c>
      <c r="M163" s="5" t="s">
        <v>233</v>
      </c>
    </row>
    <row r="164" customFormat="false" ht="15" hidden="false" customHeight="false" outlineLevel="0" collapsed="false">
      <c r="A164" s="5" t="s">
        <v>48</v>
      </c>
      <c r="B164" s="5" t="s">
        <v>49</v>
      </c>
      <c r="C164" s="5" t="s">
        <v>100</v>
      </c>
      <c r="D164" s="5" t="s">
        <v>107</v>
      </c>
      <c r="E164" s="5" t="s">
        <v>237</v>
      </c>
      <c r="F164" s="5" t="n">
        <v>1</v>
      </c>
      <c r="G164" s="5" t="n">
        <v>1</v>
      </c>
      <c r="H164" s="5" t="n">
        <f aca="false">G164-F164</f>
        <v>0</v>
      </c>
      <c r="I164" s="5" t="n">
        <f aca="false">ABS(H164)</f>
        <v>0</v>
      </c>
      <c r="J164" s="5" t="n">
        <f aca="false">IF(I164=0,1,0)</f>
        <v>1</v>
      </c>
      <c r="K164" s="5" t="n">
        <f aca="false">IF(I164&lt;=1,1,0)</f>
        <v>1</v>
      </c>
      <c r="L164" s="5" t="s">
        <v>71</v>
      </c>
      <c r="M164" s="5" t="s">
        <v>233</v>
      </c>
    </row>
    <row r="165" customFormat="false" ht="15" hidden="false" customHeight="false" outlineLevel="0" collapsed="false">
      <c r="A165" s="5" t="s">
        <v>48</v>
      </c>
      <c r="B165" s="5" t="s">
        <v>49</v>
      </c>
      <c r="C165" s="5" t="s">
        <v>100</v>
      </c>
      <c r="D165" s="5" t="s">
        <v>107</v>
      </c>
      <c r="E165" s="5" t="s">
        <v>111</v>
      </c>
      <c r="F165" s="5" t="n">
        <v>1</v>
      </c>
      <c r="G165" s="5" t="n">
        <v>1</v>
      </c>
      <c r="H165" s="5" t="n">
        <f aca="false">G165-F165</f>
        <v>0</v>
      </c>
      <c r="I165" s="5" t="n">
        <f aca="false">ABS(H165)</f>
        <v>0</v>
      </c>
      <c r="J165" s="5" t="n">
        <f aca="false">IF(I165=0,1,0)</f>
        <v>1</v>
      </c>
      <c r="K165" s="5" t="n">
        <f aca="false">IF(I165&lt;=1,1,0)</f>
        <v>1</v>
      </c>
      <c r="L165" s="5" t="s">
        <v>71</v>
      </c>
      <c r="M165" s="5" t="s">
        <v>233</v>
      </c>
    </row>
    <row r="166" customFormat="false" ht="15" hidden="false" customHeight="false" outlineLevel="0" collapsed="false">
      <c r="A166" s="5" t="s">
        <v>48</v>
      </c>
      <c r="B166" s="5" t="s">
        <v>49</v>
      </c>
      <c r="C166" s="5" t="s">
        <v>100</v>
      </c>
      <c r="D166" s="5" t="s">
        <v>107</v>
      </c>
      <c r="E166" s="5" t="s">
        <v>238</v>
      </c>
      <c r="F166" s="5" t="n">
        <v>2</v>
      </c>
      <c r="G166" s="5" t="n">
        <v>2</v>
      </c>
      <c r="H166" s="5" t="n">
        <f aca="false">G166-F166</f>
        <v>0</v>
      </c>
      <c r="I166" s="5" t="n">
        <f aca="false">ABS(H166)</f>
        <v>0</v>
      </c>
      <c r="J166" s="5" t="n">
        <f aca="false">IF(I166=0,1,0)</f>
        <v>1</v>
      </c>
      <c r="K166" s="5" t="n">
        <f aca="false">IF(I166&lt;=1,1,0)</f>
        <v>1</v>
      </c>
      <c r="L166" s="5" t="s">
        <v>71</v>
      </c>
      <c r="M166" s="5" t="s">
        <v>233</v>
      </c>
    </row>
    <row r="167" customFormat="false" ht="15" hidden="false" customHeight="false" outlineLevel="0" collapsed="false">
      <c r="A167" s="5" t="s">
        <v>48</v>
      </c>
      <c r="B167" s="5" t="s">
        <v>49</v>
      </c>
      <c r="C167" s="5" t="s">
        <v>100</v>
      </c>
      <c r="D167" s="5" t="s">
        <v>107</v>
      </c>
      <c r="E167" s="5" t="s">
        <v>239</v>
      </c>
      <c r="F167" s="5" t="n">
        <v>1</v>
      </c>
      <c r="G167" s="5" t="n">
        <v>1</v>
      </c>
      <c r="H167" s="5" t="n">
        <f aca="false">G167-F167</f>
        <v>0</v>
      </c>
      <c r="I167" s="5" t="n">
        <f aca="false">ABS(H167)</f>
        <v>0</v>
      </c>
      <c r="J167" s="5" t="n">
        <f aca="false">IF(I167=0,1,0)</f>
        <v>1</v>
      </c>
      <c r="K167" s="5" t="n">
        <f aca="false">IF(I167&lt;=1,1,0)</f>
        <v>1</v>
      </c>
      <c r="L167" s="5" t="s">
        <v>71</v>
      </c>
      <c r="M167" s="5" t="s">
        <v>233</v>
      </c>
    </row>
    <row r="168" customFormat="false" ht="15" hidden="false" customHeight="false" outlineLevel="0" collapsed="false">
      <c r="A168" s="5" t="s">
        <v>48</v>
      </c>
      <c r="B168" s="5" t="s">
        <v>49</v>
      </c>
      <c r="C168" s="5" t="s">
        <v>100</v>
      </c>
      <c r="D168" s="5" t="s">
        <v>107</v>
      </c>
      <c r="E168" s="5" t="s">
        <v>112</v>
      </c>
      <c r="F168" s="5" t="n">
        <v>2</v>
      </c>
      <c r="G168" s="5" t="n">
        <v>2</v>
      </c>
      <c r="H168" s="5" t="n">
        <f aca="false">G168-F168</f>
        <v>0</v>
      </c>
      <c r="I168" s="5" t="n">
        <f aca="false">ABS(H168)</f>
        <v>0</v>
      </c>
      <c r="J168" s="5" t="n">
        <f aca="false">IF(I168=0,1,0)</f>
        <v>1</v>
      </c>
      <c r="K168" s="5" t="n">
        <f aca="false">IF(I168&lt;=1,1,0)</f>
        <v>1</v>
      </c>
      <c r="L168" s="5" t="s">
        <v>71</v>
      </c>
      <c r="M168" s="5" t="s">
        <v>233</v>
      </c>
    </row>
    <row r="169" customFormat="false" ht="15" hidden="false" customHeight="false" outlineLevel="0" collapsed="false">
      <c r="A169" s="5" t="s">
        <v>48</v>
      </c>
      <c r="B169" s="5" t="s">
        <v>49</v>
      </c>
      <c r="C169" s="5" t="s">
        <v>100</v>
      </c>
      <c r="D169" s="5" t="s">
        <v>107</v>
      </c>
      <c r="E169" s="5" t="s">
        <v>240</v>
      </c>
      <c r="F169" s="5" t="n">
        <v>3</v>
      </c>
      <c r="G169" s="5" t="n">
        <v>3</v>
      </c>
      <c r="H169" s="5" t="n">
        <f aca="false">G169-F169</f>
        <v>0</v>
      </c>
      <c r="I169" s="5" t="n">
        <f aca="false">ABS(H169)</f>
        <v>0</v>
      </c>
      <c r="J169" s="5" t="n">
        <f aca="false">IF(I169=0,1,0)</f>
        <v>1</v>
      </c>
      <c r="K169" s="5" t="n">
        <f aca="false">IF(I169&lt;=1,1,0)</f>
        <v>1</v>
      </c>
      <c r="L169" s="5" t="s">
        <v>71</v>
      </c>
      <c r="M169" s="5" t="s">
        <v>233</v>
      </c>
    </row>
    <row r="170" customFormat="false" ht="15" hidden="false" customHeight="false" outlineLevel="0" collapsed="false">
      <c r="A170" s="5" t="s">
        <v>48</v>
      </c>
      <c r="B170" s="5" t="s">
        <v>49</v>
      </c>
      <c r="C170" s="5" t="s">
        <v>100</v>
      </c>
      <c r="D170" s="5" t="s">
        <v>114</v>
      </c>
      <c r="E170" s="5" t="s">
        <v>232</v>
      </c>
      <c r="F170" s="5" t="n">
        <v>0</v>
      </c>
      <c r="G170" s="5" t="n">
        <v>0</v>
      </c>
      <c r="H170" s="5" t="n">
        <f aca="false">G170-F170</f>
        <v>0</v>
      </c>
      <c r="I170" s="5" t="n">
        <f aca="false">ABS(H170)</f>
        <v>0</v>
      </c>
      <c r="J170" s="5" t="n">
        <f aca="false">IF(I170=0,1,0)</f>
        <v>1</v>
      </c>
      <c r="K170" s="5" t="n">
        <f aca="false">IF(I170&lt;=1,1,0)</f>
        <v>1</v>
      </c>
      <c r="L170" s="5" t="s">
        <v>71</v>
      </c>
      <c r="M170" s="5" t="s">
        <v>241</v>
      </c>
    </row>
    <row r="171" customFormat="false" ht="15" hidden="false" customHeight="false" outlineLevel="0" collapsed="false">
      <c r="A171" s="5" t="s">
        <v>48</v>
      </c>
      <c r="B171" s="5" t="s">
        <v>49</v>
      </c>
      <c r="C171" s="5" t="s">
        <v>100</v>
      </c>
      <c r="D171" s="5" t="s">
        <v>114</v>
      </c>
      <c r="E171" s="5" t="s">
        <v>234</v>
      </c>
      <c r="F171" s="5" t="n">
        <v>2</v>
      </c>
      <c r="G171" s="5" t="n">
        <v>2</v>
      </c>
      <c r="H171" s="5" t="n">
        <f aca="false">G171-F171</f>
        <v>0</v>
      </c>
      <c r="I171" s="5" t="n">
        <f aca="false">ABS(H171)</f>
        <v>0</v>
      </c>
      <c r="J171" s="5" t="n">
        <f aca="false">IF(I171=0,1,0)</f>
        <v>1</v>
      </c>
      <c r="K171" s="5" t="n">
        <f aca="false">IF(I171&lt;=1,1,0)</f>
        <v>1</v>
      </c>
      <c r="L171" s="5" t="s">
        <v>71</v>
      </c>
      <c r="M171" s="5" t="s">
        <v>241</v>
      </c>
    </row>
    <row r="172" customFormat="false" ht="15" hidden="false" customHeight="false" outlineLevel="0" collapsed="false">
      <c r="A172" s="16" t="s">
        <v>48</v>
      </c>
      <c r="B172" s="16" t="s">
        <v>49</v>
      </c>
      <c r="C172" s="16" t="s">
        <v>100</v>
      </c>
      <c r="D172" s="16" t="s">
        <v>114</v>
      </c>
      <c r="E172" s="16" t="s">
        <v>108</v>
      </c>
      <c r="F172" s="16" t="n">
        <v>1</v>
      </c>
      <c r="G172" s="16" t="n">
        <v>0</v>
      </c>
      <c r="H172" s="16" t="n">
        <f aca="false">G172-F172</f>
        <v>-1</v>
      </c>
      <c r="I172" s="16" t="n">
        <f aca="false">ABS(H172)</f>
        <v>1</v>
      </c>
      <c r="J172" s="16" t="n">
        <f aca="false">IF(I172=0,1,0)</f>
        <v>0</v>
      </c>
      <c r="K172" s="16" t="n">
        <f aca="false">IF(I172&lt;=1,1,0)</f>
        <v>1</v>
      </c>
      <c r="L172" s="16" t="s">
        <v>76</v>
      </c>
      <c r="M172" s="16" t="s">
        <v>241</v>
      </c>
    </row>
    <row r="173" customFormat="false" ht="15" hidden="false" customHeight="false" outlineLevel="0" collapsed="false">
      <c r="A173" s="5" t="s">
        <v>48</v>
      </c>
      <c r="B173" s="5" t="s">
        <v>49</v>
      </c>
      <c r="C173" s="5" t="s">
        <v>100</v>
      </c>
      <c r="D173" s="5" t="s">
        <v>114</v>
      </c>
      <c r="E173" s="5" t="s">
        <v>235</v>
      </c>
      <c r="F173" s="5" t="n">
        <v>2</v>
      </c>
      <c r="G173" s="5" t="n">
        <v>2</v>
      </c>
      <c r="H173" s="5" t="n">
        <f aca="false">G173-F173</f>
        <v>0</v>
      </c>
      <c r="I173" s="5" t="n">
        <f aca="false">ABS(H173)</f>
        <v>0</v>
      </c>
      <c r="J173" s="5" t="n">
        <f aca="false">IF(I173=0,1,0)</f>
        <v>1</v>
      </c>
      <c r="K173" s="5" t="n">
        <f aca="false">IF(I173&lt;=1,1,0)</f>
        <v>1</v>
      </c>
      <c r="L173" s="5" t="s">
        <v>71</v>
      </c>
      <c r="M173" s="5" t="s">
        <v>241</v>
      </c>
    </row>
    <row r="174" customFormat="false" ht="15" hidden="false" customHeight="false" outlineLevel="0" collapsed="false">
      <c r="A174" s="5" t="s">
        <v>48</v>
      </c>
      <c r="B174" s="5" t="s">
        <v>49</v>
      </c>
      <c r="C174" s="5" t="s">
        <v>100</v>
      </c>
      <c r="D174" s="5" t="s">
        <v>114</v>
      </c>
      <c r="E174" s="5" t="s">
        <v>236</v>
      </c>
      <c r="F174" s="5" t="n">
        <v>2</v>
      </c>
      <c r="G174" s="5" t="n">
        <v>2</v>
      </c>
      <c r="H174" s="5" t="n">
        <f aca="false">G174-F174</f>
        <v>0</v>
      </c>
      <c r="I174" s="5" t="n">
        <f aca="false">ABS(H174)</f>
        <v>0</v>
      </c>
      <c r="J174" s="5" t="n">
        <f aca="false">IF(I174=0,1,0)</f>
        <v>1</v>
      </c>
      <c r="K174" s="5" t="n">
        <f aca="false">IF(I174&lt;=1,1,0)</f>
        <v>1</v>
      </c>
      <c r="L174" s="5" t="s">
        <v>71</v>
      </c>
      <c r="M174" s="5" t="s">
        <v>241</v>
      </c>
    </row>
    <row r="175" customFormat="false" ht="15" hidden="false" customHeight="false" outlineLevel="0" collapsed="false">
      <c r="A175" s="5" t="s">
        <v>48</v>
      </c>
      <c r="B175" s="5" t="s">
        <v>49</v>
      </c>
      <c r="C175" s="5" t="s">
        <v>100</v>
      </c>
      <c r="D175" s="5" t="s">
        <v>114</v>
      </c>
      <c r="E175" s="5" t="s">
        <v>110</v>
      </c>
      <c r="F175" s="5" t="n">
        <v>0</v>
      </c>
      <c r="G175" s="5" t="n">
        <v>0</v>
      </c>
      <c r="H175" s="5" t="n">
        <f aca="false">G175-F175</f>
        <v>0</v>
      </c>
      <c r="I175" s="5" t="n">
        <f aca="false">ABS(H175)</f>
        <v>0</v>
      </c>
      <c r="J175" s="5" t="n">
        <f aca="false">IF(I175=0,1,0)</f>
        <v>1</v>
      </c>
      <c r="K175" s="5" t="n">
        <f aca="false">IF(I175&lt;=1,1,0)</f>
        <v>1</v>
      </c>
      <c r="L175" s="5" t="s">
        <v>71</v>
      </c>
      <c r="M175" s="5" t="s">
        <v>241</v>
      </c>
    </row>
    <row r="176" customFormat="false" ht="15" hidden="false" customHeight="false" outlineLevel="0" collapsed="false">
      <c r="A176" s="5" t="s">
        <v>48</v>
      </c>
      <c r="B176" s="5" t="s">
        <v>49</v>
      </c>
      <c r="C176" s="5" t="s">
        <v>100</v>
      </c>
      <c r="D176" s="5" t="s">
        <v>114</v>
      </c>
      <c r="E176" s="5" t="s">
        <v>237</v>
      </c>
      <c r="F176" s="5" t="n">
        <v>1</v>
      </c>
      <c r="G176" s="5" t="n">
        <v>1</v>
      </c>
      <c r="H176" s="5" t="n">
        <f aca="false">G176-F176</f>
        <v>0</v>
      </c>
      <c r="I176" s="5" t="n">
        <f aca="false">ABS(H176)</f>
        <v>0</v>
      </c>
      <c r="J176" s="5" t="n">
        <f aca="false">IF(I176=0,1,0)</f>
        <v>1</v>
      </c>
      <c r="K176" s="5" t="n">
        <f aca="false">IF(I176&lt;=1,1,0)</f>
        <v>1</v>
      </c>
      <c r="L176" s="5" t="s">
        <v>71</v>
      </c>
      <c r="M176" s="5" t="s">
        <v>241</v>
      </c>
    </row>
    <row r="177" customFormat="false" ht="15" hidden="false" customHeight="false" outlineLevel="0" collapsed="false">
      <c r="A177" s="5" t="s">
        <v>48</v>
      </c>
      <c r="B177" s="5" t="s">
        <v>49</v>
      </c>
      <c r="C177" s="5" t="s">
        <v>100</v>
      </c>
      <c r="D177" s="5" t="s">
        <v>114</v>
      </c>
      <c r="E177" s="5" t="s">
        <v>111</v>
      </c>
      <c r="F177" s="5" t="n">
        <v>1</v>
      </c>
      <c r="G177" s="5" t="n">
        <v>1</v>
      </c>
      <c r="H177" s="5" t="n">
        <f aca="false">G177-F177</f>
        <v>0</v>
      </c>
      <c r="I177" s="5" t="n">
        <f aca="false">ABS(H177)</f>
        <v>0</v>
      </c>
      <c r="J177" s="5" t="n">
        <f aca="false">IF(I177=0,1,0)</f>
        <v>1</v>
      </c>
      <c r="K177" s="5" t="n">
        <f aca="false">IF(I177&lt;=1,1,0)</f>
        <v>1</v>
      </c>
      <c r="L177" s="5" t="s">
        <v>71</v>
      </c>
      <c r="M177" s="5" t="s">
        <v>241</v>
      </c>
    </row>
    <row r="178" customFormat="false" ht="15" hidden="false" customHeight="false" outlineLevel="0" collapsed="false">
      <c r="A178" s="5" t="s">
        <v>48</v>
      </c>
      <c r="B178" s="5" t="s">
        <v>49</v>
      </c>
      <c r="C178" s="5" t="s">
        <v>100</v>
      </c>
      <c r="D178" s="5" t="s">
        <v>114</v>
      </c>
      <c r="E178" s="5" t="s">
        <v>238</v>
      </c>
      <c r="F178" s="5" t="n">
        <v>3</v>
      </c>
      <c r="G178" s="5" t="n">
        <v>3</v>
      </c>
      <c r="H178" s="5" t="n">
        <f aca="false">G178-F178</f>
        <v>0</v>
      </c>
      <c r="I178" s="5" t="n">
        <f aca="false">ABS(H178)</f>
        <v>0</v>
      </c>
      <c r="J178" s="5" t="n">
        <f aca="false">IF(I178=0,1,0)</f>
        <v>1</v>
      </c>
      <c r="K178" s="5" t="n">
        <f aca="false">IF(I178&lt;=1,1,0)</f>
        <v>1</v>
      </c>
      <c r="L178" s="5" t="s">
        <v>71</v>
      </c>
      <c r="M178" s="5" t="s">
        <v>241</v>
      </c>
    </row>
    <row r="179" customFormat="false" ht="15" hidden="false" customHeight="false" outlineLevel="0" collapsed="false">
      <c r="A179" s="5" t="s">
        <v>48</v>
      </c>
      <c r="B179" s="5" t="s">
        <v>49</v>
      </c>
      <c r="C179" s="5" t="s">
        <v>100</v>
      </c>
      <c r="D179" s="5" t="s">
        <v>114</v>
      </c>
      <c r="E179" s="5" t="s">
        <v>239</v>
      </c>
      <c r="F179" s="5" t="n">
        <v>1</v>
      </c>
      <c r="G179" s="5" t="n">
        <v>1</v>
      </c>
      <c r="H179" s="5" t="n">
        <f aca="false">G179-F179</f>
        <v>0</v>
      </c>
      <c r="I179" s="5" t="n">
        <f aca="false">ABS(H179)</f>
        <v>0</v>
      </c>
      <c r="J179" s="5" t="n">
        <f aca="false">IF(I179=0,1,0)</f>
        <v>1</v>
      </c>
      <c r="K179" s="5" t="n">
        <f aca="false">IF(I179&lt;=1,1,0)</f>
        <v>1</v>
      </c>
      <c r="L179" s="5" t="s">
        <v>71</v>
      </c>
      <c r="M179" s="5" t="s">
        <v>241</v>
      </c>
    </row>
    <row r="180" customFormat="false" ht="15" hidden="false" customHeight="false" outlineLevel="0" collapsed="false">
      <c r="A180" s="5" t="s">
        <v>48</v>
      </c>
      <c r="B180" s="5" t="s">
        <v>49</v>
      </c>
      <c r="C180" s="5" t="s">
        <v>100</v>
      </c>
      <c r="D180" s="5" t="s">
        <v>114</v>
      </c>
      <c r="E180" s="5" t="s">
        <v>112</v>
      </c>
      <c r="F180" s="5" t="n">
        <v>2</v>
      </c>
      <c r="G180" s="5" t="n">
        <v>2</v>
      </c>
      <c r="H180" s="5" t="n">
        <f aca="false">G180-F180</f>
        <v>0</v>
      </c>
      <c r="I180" s="5" t="n">
        <f aca="false">ABS(H180)</f>
        <v>0</v>
      </c>
      <c r="J180" s="5" t="n">
        <f aca="false">IF(I180=0,1,0)</f>
        <v>1</v>
      </c>
      <c r="K180" s="5" t="n">
        <f aca="false">IF(I180&lt;=1,1,0)</f>
        <v>1</v>
      </c>
      <c r="L180" s="5" t="s">
        <v>71</v>
      </c>
      <c r="M180" s="5" t="s">
        <v>241</v>
      </c>
    </row>
    <row r="181" customFormat="false" ht="15" hidden="false" customHeight="false" outlineLevel="0" collapsed="false">
      <c r="A181" s="5" t="s">
        <v>48</v>
      </c>
      <c r="B181" s="5" t="s">
        <v>49</v>
      </c>
      <c r="C181" s="5" t="s">
        <v>100</v>
      </c>
      <c r="D181" s="5" t="s">
        <v>114</v>
      </c>
      <c r="E181" s="5" t="s">
        <v>240</v>
      </c>
      <c r="F181" s="5" t="n">
        <v>0</v>
      </c>
      <c r="G181" s="5" t="n">
        <v>0</v>
      </c>
      <c r="H181" s="5" t="n">
        <f aca="false">G181-F181</f>
        <v>0</v>
      </c>
      <c r="I181" s="5" t="n">
        <f aca="false">ABS(H181)</f>
        <v>0</v>
      </c>
      <c r="J181" s="5" t="n">
        <f aca="false">IF(I181=0,1,0)</f>
        <v>1</v>
      </c>
      <c r="K181" s="5" t="n">
        <f aca="false">IF(I181&lt;=1,1,0)</f>
        <v>1</v>
      </c>
      <c r="L181" s="5" t="s">
        <v>71</v>
      </c>
      <c r="M181" s="5" t="s">
        <v>241</v>
      </c>
    </row>
    <row r="182" customFormat="false" ht="15" hidden="false" customHeight="false" outlineLevel="0" collapsed="false">
      <c r="A182" s="5" t="s">
        <v>48</v>
      </c>
      <c r="B182" s="5" t="s">
        <v>49</v>
      </c>
      <c r="C182" s="5" t="s">
        <v>116</v>
      </c>
      <c r="D182" s="5" t="s">
        <v>69</v>
      </c>
      <c r="E182" s="5" t="s">
        <v>242</v>
      </c>
      <c r="F182" s="5" t="n">
        <v>3</v>
      </c>
      <c r="G182" s="5" t="n">
        <v>3</v>
      </c>
      <c r="H182" s="5" t="n">
        <f aca="false">G182-F182</f>
        <v>0</v>
      </c>
      <c r="I182" s="5" t="n">
        <f aca="false">ABS(H182)</f>
        <v>0</v>
      </c>
      <c r="J182" s="5" t="n">
        <f aca="false">IF(I182=0,1,0)</f>
        <v>1</v>
      </c>
      <c r="K182" s="5" t="n">
        <f aca="false">IF(I182&lt;=1,1,0)</f>
        <v>1</v>
      </c>
      <c r="L182" s="5" t="s">
        <v>71</v>
      </c>
      <c r="M182" s="5" t="s">
        <v>243</v>
      </c>
    </row>
    <row r="183" customFormat="false" ht="15" hidden="false" customHeight="false" outlineLevel="0" collapsed="false">
      <c r="A183" s="16" t="s">
        <v>48</v>
      </c>
      <c r="B183" s="16" t="s">
        <v>49</v>
      </c>
      <c r="C183" s="16" t="s">
        <v>116</v>
      </c>
      <c r="D183" s="16" t="s">
        <v>69</v>
      </c>
      <c r="E183" s="16" t="s">
        <v>117</v>
      </c>
      <c r="F183" s="16" t="n">
        <v>2</v>
      </c>
      <c r="G183" s="16" t="n">
        <v>3</v>
      </c>
      <c r="H183" s="16" t="n">
        <f aca="false">G183-F183</f>
        <v>1</v>
      </c>
      <c r="I183" s="16" t="n">
        <f aca="false">ABS(H183)</f>
        <v>1</v>
      </c>
      <c r="J183" s="16" t="n">
        <f aca="false">IF(I183=0,1,0)</f>
        <v>0</v>
      </c>
      <c r="K183" s="16" t="n">
        <f aca="false">IF(I183&lt;=1,1,0)</f>
        <v>1</v>
      </c>
      <c r="L183" s="16" t="s">
        <v>76</v>
      </c>
      <c r="M183" s="16" t="s">
        <v>243</v>
      </c>
    </row>
    <row r="184" customFormat="false" ht="15" hidden="false" customHeight="false" outlineLevel="0" collapsed="false">
      <c r="A184" s="5" t="s">
        <v>48</v>
      </c>
      <c r="B184" s="5" t="s">
        <v>49</v>
      </c>
      <c r="C184" s="5" t="s">
        <v>116</v>
      </c>
      <c r="D184" s="5" t="s">
        <v>69</v>
      </c>
      <c r="E184" s="5" t="s">
        <v>119</v>
      </c>
      <c r="F184" s="5" t="n">
        <v>3</v>
      </c>
      <c r="G184" s="5" t="n">
        <v>3</v>
      </c>
      <c r="H184" s="5" t="n">
        <f aca="false">G184-F184</f>
        <v>0</v>
      </c>
      <c r="I184" s="5" t="n">
        <f aca="false">ABS(H184)</f>
        <v>0</v>
      </c>
      <c r="J184" s="5" t="n">
        <f aca="false">IF(I184=0,1,0)</f>
        <v>1</v>
      </c>
      <c r="K184" s="5" t="n">
        <f aca="false">IF(I184&lt;=1,1,0)</f>
        <v>1</v>
      </c>
      <c r="L184" s="5" t="s">
        <v>71</v>
      </c>
      <c r="M184" s="5" t="s">
        <v>243</v>
      </c>
    </row>
    <row r="185" customFormat="false" ht="15" hidden="false" customHeight="false" outlineLevel="0" collapsed="false">
      <c r="A185" s="5" t="s">
        <v>48</v>
      </c>
      <c r="B185" s="5" t="s">
        <v>49</v>
      </c>
      <c r="C185" s="5" t="s">
        <v>116</v>
      </c>
      <c r="D185" s="5" t="s">
        <v>69</v>
      </c>
      <c r="E185" s="5" t="s">
        <v>120</v>
      </c>
      <c r="F185" s="5" t="n">
        <v>3</v>
      </c>
      <c r="G185" s="5" t="n">
        <v>3</v>
      </c>
      <c r="H185" s="5" t="n">
        <f aca="false">G185-F185</f>
        <v>0</v>
      </c>
      <c r="I185" s="5" t="n">
        <f aca="false">ABS(H185)</f>
        <v>0</v>
      </c>
      <c r="J185" s="5" t="n">
        <f aca="false">IF(I185=0,1,0)</f>
        <v>1</v>
      </c>
      <c r="K185" s="5" t="n">
        <f aca="false">IF(I185&lt;=1,1,0)</f>
        <v>1</v>
      </c>
      <c r="L185" s="5" t="s">
        <v>71</v>
      </c>
      <c r="M185" s="5" t="s">
        <v>243</v>
      </c>
    </row>
    <row r="186" customFormat="false" ht="15" hidden="false" customHeight="false" outlineLevel="0" collapsed="false">
      <c r="A186" s="5" t="s">
        <v>48</v>
      </c>
      <c r="B186" s="5" t="s">
        <v>49</v>
      </c>
      <c r="C186" s="5" t="s">
        <v>116</v>
      </c>
      <c r="D186" s="5" t="s">
        <v>69</v>
      </c>
      <c r="E186" s="5" t="s">
        <v>122</v>
      </c>
      <c r="F186" s="5" t="n">
        <v>2</v>
      </c>
      <c r="G186" s="5" t="n">
        <v>2</v>
      </c>
      <c r="H186" s="5" t="n">
        <f aca="false">G186-F186</f>
        <v>0</v>
      </c>
      <c r="I186" s="5" t="n">
        <f aca="false">ABS(H186)</f>
        <v>0</v>
      </c>
      <c r="J186" s="5" t="n">
        <f aca="false">IF(I186=0,1,0)</f>
        <v>1</v>
      </c>
      <c r="K186" s="5" t="n">
        <f aca="false">IF(I186&lt;=1,1,0)</f>
        <v>1</v>
      </c>
      <c r="L186" s="5" t="s">
        <v>71</v>
      </c>
      <c r="M186" s="5" t="s">
        <v>243</v>
      </c>
    </row>
    <row r="187" customFormat="false" ht="15" hidden="false" customHeight="false" outlineLevel="0" collapsed="false">
      <c r="A187" s="16" t="s">
        <v>48</v>
      </c>
      <c r="B187" s="16" t="s">
        <v>49</v>
      </c>
      <c r="C187" s="16" t="s">
        <v>116</v>
      </c>
      <c r="D187" s="16" t="s">
        <v>114</v>
      </c>
      <c r="E187" s="16" t="s">
        <v>123</v>
      </c>
      <c r="F187" s="16" t="n">
        <v>1</v>
      </c>
      <c r="G187" s="16" t="n">
        <v>0</v>
      </c>
      <c r="H187" s="16" t="n">
        <f aca="false">G187-F187</f>
        <v>-1</v>
      </c>
      <c r="I187" s="16" t="n">
        <f aca="false">ABS(H187)</f>
        <v>1</v>
      </c>
      <c r="J187" s="16" t="n">
        <f aca="false">IF(I187=0,1,0)</f>
        <v>0</v>
      </c>
      <c r="K187" s="16" t="n">
        <f aca="false">IF(I187&lt;=1,1,0)</f>
        <v>1</v>
      </c>
      <c r="L187" s="16" t="s">
        <v>76</v>
      </c>
      <c r="M187" s="16" t="s">
        <v>244</v>
      </c>
    </row>
    <row r="188" customFormat="false" ht="15" hidden="false" customHeight="false" outlineLevel="0" collapsed="false">
      <c r="A188" s="5" t="s">
        <v>48</v>
      </c>
      <c r="B188" s="5" t="s">
        <v>49</v>
      </c>
      <c r="C188" s="5" t="s">
        <v>116</v>
      </c>
      <c r="D188" s="5" t="s">
        <v>114</v>
      </c>
      <c r="E188" s="5" t="s">
        <v>125</v>
      </c>
      <c r="F188" s="5" t="n">
        <v>0</v>
      </c>
      <c r="G188" s="5" t="n">
        <v>0</v>
      </c>
      <c r="H188" s="5" t="n">
        <f aca="false">G188-F188</f>
        <v>0</v>
      </c>
      <c r="I188" s="5" t="n">
        <f aca="false">ABS(H188)</f>
        <v>0</v>
      </c>
      <c r="J188" s="5" t="n">
        <f aca="false">IF(I188=0,1,0)</f>
        <v>1</v>
      </c>
      <c r="K188" s="5" t="n">
        <f aca="false">IF(I188&lt;=1,1,0)</f>
        <v>1</v>
      </c>
      <c r="L188" s="5" t="s">
        <v>71</v>
      </c>
      <c r="M188" s="5" t="s">
        <v>244</v>
      </c>
    </row>
    <row r="189" customFormat="false" ht="15" hidden="false" customHeight="false" outlineLevel="0" collapsed="false">
      <c r="A189" s="5" t="s">
        <v>48</v>
      </c>
      <c r="B189" s="5" t="s">
        <v>49</v>
      </c>
      <c r="C189" s="5" t="s">
        <v>116</v>
      </c>
      <c r="D189" s="5" t="s">
        <v>114</v>
      </c>
      <c r="E189" s="5" t="s">
        <v>126</v>
      </c>
      <c r="F189" s="5" t="n">
        <v>1</v>
      </c>
      <c r="G189" s="5" t="n">
        <v>1</v>
      </c>
      <c r="H189" s="5" t="n">
        <f aca="false">G189-F189</f>
        <v>0</v>
      </c>
      <c r="I189" s="5" t="n">
        <f aca="false">ABS(H189)</f>
        <v>0</v>
      </c>
      <c r="J189" s="5" t="n">
        <f aca="false">IF(I189=0,1,0)</f>
        <v>1</v>
      </c>
      <c r="K189" s="5" t="n">
        <f aca="false">IF(I189&lt;=1,1,0)</f>
        <v>1</v>
      </c>
      <c r="L189" s="5" t="s">
        <v>71</v>
      </c>
      <c r="M189" s="5" t="s">
        <v>244</v>
      </c>
    </row>
    <row r="190" customFormat="false" ht="15" hidden="false" customHeight="false" outlineLevel="0" collapsed="false">
      <c r="A190" s="5" t="s">
        <v>48</v>
      </c>
      <c r="B190" s="5" t="s">
        <v>49</v>
      </c>
      <c r="C190" s="5" t="s">
        <v>116</v>
      </c>
      <c r="D190" s="5" t="s">
        <v>114</v>
      </c>
      <c r="E190" s="5" t="s">
        <v>127</v>
      </c>
      <c r="F190" s="5" t="n">
        <v>0</v>
      </c>
      <c r="G190" s="5" t="n">
        <v>0</v>
      </c>
      <c r="H190" s="5" t="n">
        <f aca="false">G190-F190</f>
        <v>0</v>
      </c>
      <c r="I190" s="5" t="n">
        <f aca="false">ABS(H190)</f>
        <v>0</v>
      </c>
      <c r="J190" s="5" t="n">
        <f aca="false">IF(I190=0,1,0)</f>
        <v>1</v>
      </c>
      <c r="K190" s="5" t="n">
        <f aca="false">IF(I190&lt;=1,1,0)</f>
        <v>1</v>
      </c>
      <c r="L190" s="5" t="s">
        <v>71</v>
      </c>
      <c r="M190" s="5" t="s">
        <v>244</v>
      </c>
    </row>
    <row r="191" customFormat="false" ht="15" hidden="false" customHeight="false" outlineLevel="0" collapsed="false">
      <c r="A191" s="16" t="s">
        <v>48</v>
      </c>
      <c r="B191" s="16" t="s">
        <v>49</v>
      </c>
      <c r="C191" s="16" t="s">
        <v>116</v>
      </c>
      <c r="D191" s="16" t="s">
        <v>114</v>
      </c>
      <c r="E191" s="16" t="s">
        <v>128</v>
      </c>
      <c r="F191" s="16" t="n">
        <v>2</v>
      </c>
      <c r="G191" s="16" t="n">
        <v>3</v>
      </c>
      <c r="H191" s="16" t="n">
        <f aca="false">G191-F191</f>
        <v>1</v>
      </c>
      <c r="I191" s="16" t="n">
        <f aca="false">ABS(H191)</f>
        <v>1</v>
      </c>
      <c r="J191" s="16" t="n">
        <f aca="false">IF(I191=0,1,0)</f>
        <v>0</v>
      </c>
      <c r="K191" s="16" t="n">
        <f aca="false">IF(I191&lt;=1,1,0)</f>
        <v>1</v>
      </c>
      <c r="L191" s="16" t="s">
        <v>76</v>
      </c>
      <c r="M191" s="16" t="s">
        <v>244</v>
      </c>
    </row>
    <row r="192" customFormat="false" ht="15" hidden="false" customHeight="false" outlineLevel="0" collapsed="false">
      <c r="A192" s="5" t="s">
        <v>48</v>
      </c>
      <c r="B192" s="5" t="s">
        <v>49</v>
      </c>
      <c r="C192" s="5" t="s">
        <v>116</v>
      </c>
      <c r="D192" s="5" t="s">
        <v>129</v>
      </c>
      <c r="E192" s="5" t="s">
        <v>130</v>
      </c>
      <c r="F192" s="5" t="n">
        <v>1</v>
      </c>
      <c r="G192" s="5" t="n">
        <v>1</v>
      </c>
      <c r="H192" s="5" t="n">
        <f aca="false">G192-F192</f>
        <v>0</v>
      </c>
      <c r="I192" s="5" t="n">
        <f aca="false">ABS(H192)</f>
        <v>0</v>
      </c>
      <c r="J192" s="5" t="n">
        <f aca="false">IF(I192=0,1,0)</f>
        <v>1</v>
      </c>
      <c r="K192" s="5" t="n">
        <f aca="false">IF(I192&lt;=1,1,0)</f>
        <v>1</v>
      </c>
      <c r="L192" s="5" t="s">
        <v>71</v>
      </c>
      <c r="M192" s="5" t="s">
        <v>245</v>
      </c>
    </row>
    <row r="193" customFormat="false" ht="15" hidden="false" customHeight="false" outlineLevel="0" collapsed="false">
      <c r="A193" s="5" t="s">
        <v>48</v>
      </c>
      <c r="B193" s="5" t="s">
        <v>49</v>
      </c>
      <c r="C193" s="5" t="s">
        <v>116</v>
      </c>
      <c r="D193" s="5" t="s">
        <v>129</v>
      </c>
      <c r="E193" s="5" t="s">
        <v>132</v>
      </c>
      <c r="F193" s="5" t="n">
        <v>3</v>
      </c>
      <c r="G193" s="5" t="n">
        <v>3</v>
      </c>
      <c r="H193" s="5" t="n">
        <f aca="false">G193-F193</f>
        <v>0</v>
      </c>
      <c r="I193" s="5" t="n">
        <f aca="false">ABS(H193)</f>
        <v>0</v>
      </c>
      <c r="J193" s="5" t="n">
        <f aca="false">IF(I193=0,1,0)</f>
        <v>1</v>
      </c>
      <c r="K193" s="5" t="n">
        <f aca="false">IF(I193&lt;=1,1,0)</f>
        <v>1</v>
      </c>
      <c r="L193" s="5" t="s">
        <v>71</v>
      </c>
      <c r="M193" s="5" t="s">
        <v>245</v>
      </c>
    </row>
    <row r="194" customFormat="false" ht="15" hidden="false" customHeight="false" outlineLevel="0" collapsed="false">
      <c r="A194" s="5" t="s">
        <v>48</v>
      </c>
      <c r="B194" s="5" t="s">
        <v>49</v>
      </c>
      <c r="C194" s="5" t="s">
        <v>116</v>
      </c>
      <c r="D194" s="5" t="s">
        <v>129</v>
      </c>
      <c r="E194" s="5" t="s">
        <v>133</v>
      </c>
      <c r="F194" s="5" t="n">
        <v>3</v>
      </c>
      <c r="G194" s="5" t="n">
        <v>3</v>
      </c>
      <c r="H194" s="5" t="n">
        <f aca="false">G194-F194</f>
        <v>0</v>
      </c>
      <c r="I194" s="5" t="n">
        <f aca="false">ABS(H194)</f>
        <v>0</v>
      </c>
      <c r="J194" s="5" t="n">
        <f aca="false">IF(I194=0,1,0)</f>
        <v>1</v>
      </c>
      <c r="K194" s="5" t="n">
        <f aca="false">IF(I194&lt;=1,1,0)</f>
        <v>1</v>
      </c>
      <c r="L194" s="5" t="s">
        <v>71</v>
      </c>
      <c r="M194" s="5" t="s">
        <v>245</v>
      </c>
    </row>
    <row r="195" customFormat="false" ht="15" hidden="false" customHeight="false" outlineLevel="0" collapsed="false">
      <c r="A195" s="5" t="s">
        <v>48</v>
      </c>
      <c r="B195" s="5" t="s">
        <v>49</v>
      </c>
      <c r="C195" s="5" t="s">
        <v>116</v>
      </c>
      <c r="D195" s="5" t="s">
        <v>129</v>
      </c>
      <c r="E195" s="5" t="s">
        <v>134</v>
      </c>
      <c r="F195" s="5" t="n">
        <v>3</v>
      </c>
      <c r="G195" s="5" t="n">
        <v>3</v>
      </c>
      <c r="H195" s="5" t="n">
        <f aca="false">G195-F195</f>
        <v>0</v>
      </c>
      <c r="I195" s="5" t="n">
        <f aca="false">ABS(H195)</f>
        <v>0</v>
      </c>
      <c r="J195" s="5" t="n">
        <f aca="false">IF(I195=0,1,0)</f>
        <v>1</v>
      </c>
      <c r="K195" s="5" t="n">
        <f aca="false">IF(I195&lt;=1,1,0)</f>
        <v>1</v>
      </c>
      <c r="L195" s="5" t="s">
        <v>71</v>
      </c>
      <c r="M195" s="5" t="s">
        <v>245</v>
      </c>
    </row>
    <row r="196" customFormat="false" ht="15" hidden="false" customHeight="false" outlineLevel="0" collapsed="false">
      <c r="A196" s="5" t="s">
        <v>48</v>
      </c>
      <c r="B196" s="5" t="s">
        <v>49</v>
      </c>
      <c r="C196" s="5" t="s">
        <v>116</v>
      </c>
      <c r="D196" s="5" t="s">
        <v>129</v>
      </c>
      <c r="E196" s="5" t="s">
        <v>135</v>
      </c>
      <c r="F196" s="5" t="n">
        <v>2</v>
      </c>
      <c r="G196" s="5" t="n">
        <v>2</v>
      </c>
      <c r="H196" s="5" t="n">
        <f aca="false">G196-F196</f>
        <v>0</v>
      </c>
      <c r="I196" s="5" t="n">
        <f aca="false">ABS(H196)</f>
        <v>0</v>
      </c>
      <c r="J196" s="5" t="n">
        <f aca="false">IF(I196=0,1,0)</f>
        <v>1</v>
      </c>
      <c r="K196" s="5" t="n">
        <f aca="false">IF(I196&lt;=1,1,0)</f>
        <v>1</v>
      </c>
      <c r="L196" s="5" t="s">
        <v>71</v>
      </c>
      <c r="M196" s="5" t="s">
        <v>245</v>
      </c>
    </row>
    <row r="197" customFormat="false" ht="15" hidden="false" customHeight="false" outlineLevel="0" collapsed="false">
      <c r="A197" s="5" t="s">
        <v>48</v>
      </c>
      <c r="B197" s="5" t="s">
        <v>49</v>
      </c>
      <c r="C197" s="5" t="s">
        <v>116</v>
      </c>
      <c r="D197" s="5" t="s">
        <v>129</v>
      </c>
      <c r="E197" s="5" t="s">
        <v>127</v>
      </c>
      <c r="F197" s="5" t="n">
        <v>0</v>
      </c>
      <c r="G197" s="5" t="n">
        <v>0</v>
      </c>
      <c r="H197" s="5" t="n">
        <f aca="false">G197-F197</f>
        <v>0</v>
      </c>
      <c r="I197" s="5" t="n">
        <f aca="false">ABS(H197)</f>
        <v>0</v>
      </c>
      <c r="J197" s="5" t="n">
        <f aca="false">IF(I197=0,1,0)</f>
        <v>1</v>
      </c>
      <c r="K197" s="5" t="n">
        <f aca="false">IF(I197&lt;=1,1,0)</f>
        <v>1</v>
      </c>
      <c r="L197" s="5" t="s">
        <v>71</v>
      </c>
      <c r="M197" s="5" t="s">
        <v>245</v>
      </c>
    </row>
    <row r="198" customFormat="false" ht="15" hidden="false" customHeight="false" outlineLevel="0" collapsed="false">
      <c r="A198" s="5" t="s">
        <v>48</v>
      </c>
      <c r="B198" s="5" t="s">
        <v>49</v>
      </c>
      <c r="C198" s="5" t="s">
        <v>116</v>
      </c>
      <c r="D198" s="5" t="s">
        <v>129</v>
      </c>
      <c r="E198" s="5" t="s">
        <v>136</v>
      </c>
      <c r="F198" s="5" t="n">
        <v>0</v>
      </c>
      <c r="G198" s="5" t="n">
        <v>0</v>
      </c>
      <c r="H198" s="5" t="n">
        <f aca="false">G198-F198</f>
        <v>0</v>
      </c>
      <c r="I198" s="5" t="n">
        <f aca="false">ABS(H198)</f>
        <v>0</v>
      </c>
      <c r="J198" s="5" t="n">
        <f aca="false">IF(I198=0,1,0)</f>
        <v>1</v>
      </c>
      <c r="K198" s="5" t="n">
        <f aca="false">IF(I198&lt;=1,1,0)</f>
        <v>1</v>
      </c>
      <c r="L198" s="5" t="s">
        <v>71</v>
      </c>
      <c r="M198" s="5" t="s">
        <v>245</v>
      </c>
    </row>
    <row r="199" customFormat="false" ht="15" hidden="false" customHeight="false" outlineLevel="0" collapsed="false">
      <c r="A199" s="16" t="s">
        <v>48</v>
      </c>
      <c r="B199" s="16" t="s">
        <v>49</v>
      </c>
      <c r="C199" s="16" t="s">
        <v>116</v>
      </c>
      <c r="D199" s="16" t="s">
        <v>129</v>
      </c>
      <c r="E199" s="16" t="s">
        <v>137</v>
      </c>
      <c r="F199" s="16" t="n">
        <v>2</v>
      </c>
      <c r="G199" s="16" t="n">
        <v>3</v>
      </c>
      <c r="H199" s="16" t="n">
        <f aca="false">G199-F199</f>
        <v>1</v>
      </c>
      <c r="I199" s="16" t="n">
        <f aca="false">ABS(H199)</f>
        <v>1</v>
      </c>
      <c r="J199" s="16" t="n">
        <f aca="false">IF(I199=0,1,0)</f>
        <v>0</v>
      </c>
      <c r="K199" s="16" t="n">
        <f aca="false">IF(I199&lt;=1,1,0)</f>
        <v>1</v>
      </c>
      <c r="L199" s="16" t="s">
        <v>76</v>
      </c>
      <c r="M199" s="16" t="s">
        <v>245</v>
      </c>
    </row>
    <row r="200" customFormat="false" ht="15" hidden="false" customHeight="false" outlineLevel="0" collapsed="false">
      <c r="A200" s="5" t="s">
        <v>48</v>
      </c>
      <c r="B200" s="5" t="s">
        <v>49</v>
      </c>
      <c r="C200" s="5" t="s">
        <v>116</v>
      </c>
      <c r="D200" s="5" t="s">
        <v>138</v>
      </c>
      <c r="E200" s="5" t="s">
        <v>139</v>
      </c>
      <c r="F200" s="5" t="n">
        <v>2</v>
      </c>
      <c r="G200" s="5" t="n">
        <v>2</v>
      </c>
      <c r="H200" s="5" t="n">
        <f aca="false">G200-F200</f>
        <v>0</v>
      </c>
      <c r="I200" s="5" t="n">
        <f aca="false">ABS(H200)</f>
        <v>0</v>
      </c>
      <c r="J200" s="5" t="n">
        <f aca="false">IF(I200=0,1,0)</f>
        <v>1</v>
      </c>
      <c r="K200" s="5" t="n">
        <f aca="false">IF(I200&lt;=1,1,0)</f>
        <v>1</v>
      </c>
      <c r="L200" s="5" t="s">
        <v>71</v>
      </c>
      <c r="M200" s="5" t="s">
        <v>246</v>
      </c>
    </row>
    <row r="201" customFormat="false" ht="15" hidden="false" customHeight="false" outlineLevel="0" collapsed="false">
      <c r="A201" s="5" t="s">
        <v>48</v>
      </c>
      <c r="B201" s="5" t="s">
        <v>49</v>
      </c>
      <c r="C201" s="5" t="s">
        <v>116</v>
      </c>
      <c r="D201" s="5" t="s">
        <v>138</v>
      </c>
      <c r="E201" s="5" t="s">
        <v>141</v>
      </c>
      <c r="F201" s="5" t="n">
        <v>3</v>
      </c>
      <c r="G201" s="5" t="n">
        <v>3</v>
      </c>
      <c r="H201" s="5" t="n">
        <f aca="false">G201-F201</f>
        <v>0</v>
      </c>
      <c r="I201" s="5" t="n">
        <f aca="false">ABS(H201)</f>
        <v>0</v>
      </c>
      <c r="J201" s="5" t="n">
        <f aca="false">IF(I201=0,1,0)</f>
        <v>1</v>
      </c>
      <c r="K201" s="5" t="n">
        <f aca="false">IF(I201&lt;=1,1,0)</f>
        <v>1</v>
      </c>
      <c r="L201" s="5" t="s">
        <v>71</v>
      </c>
      <c r="M201" s="5" t="s">
        <v>246</v>
      </c>
    </row>
    <row r="202" customFormat="false" ht="15" hidden="false" customHeight="false" outlineLevel="0" collapsed="false">
      <c r="A202" s="5" t="s">
        <v>48</v>
      </c>
      <c r="B202" s="5" t="s">
        <v>49</v>
      </c>
      <c r="C202" s="5" t="s">
        <v>116</v>
      </c>
      <c r="D202" s="5" t="s">
        <v>138</v>
      </c>
      <c r="E202" s="5" t="s">
        <v>142</v>
      </c>
      <c r="F202" s="5" t="n">
        <v>2</v>
      </c>
      <c r="G202" s="5" t="n">
        <v>2</v>
      </c>
      <c r="H202" s="5" t="n">
        <f aca="false">G202-F202</f>
        <v>0</v>
      </c>
      <c r="I202" s="5" t="n">
        <f aca="false">ABS(H202)</f>
        <v>0</v>
      </c>
      <c r="J202" s="5" t="n">
        <f aca="false">IF(I202=0,1,0)</f>
        <v>1</v>
      </c>
      <c r="K202" s="5" t="n">
        <f aca="false">IF(I202&lt;=1,1,0)</f>
        <v>1</v>
      </c>
      <c r="L202" s="5" t="s">
        <v>71</v>
      </c>
      <c r="M202" s="5" t="s">
        <v>246</v>
      </c>
    </row>
    <row r="203" customFormat="false" ht="15" hidden="false" customHeight="false" outlineLevel="0" collapsed="false">
      <c r="A203" s="5" t="s">
        <v>48</v>
      </c>
      <c r="B203" s="5" t="s">
        <v>49</v>
      </c>
      <c r="C203" s="5" t="s">
        <v>116</v>
      </c>
      <c r="D203" s="5" t="s">
        <v>138</v>
      </c>
      <c r="E203" s="5" t="s">
        <v>143</v>
      </c>
      <c r="F203" s="5" t="n">
        <v>1</v>
      </c>
      <c r="G203" s="5" t="n">
        <v>1</v>
      </c>
      <c r="H203" s="5" t="n">
        <f aca="false">G203-F203</f>
        <v>0</v>
      </c>
      <c r="I203" s="5" t="n">
        <f aca="false">ABS(H203)</f>
        <v>0</v>
      </c>
      <c r="J203" s="5" t="n">
        <f aca="false">IF(I203=0,1,0)</f>
        <v>1</v>
      </c>
      <c r="K203" s="5" t="n">
        <f aca="false">IF(I203&lt;=1,1,0)</f>
        <v>1</v>
      </c>
      <c r="L203" s="5" t="s">
        <v>71</v>
      </c>
      <c r="M203" s="5" t="s">
        <v>246</v>
      </c>
    </row>
    <row r="204" customFormat="false" ht="15" hidden="false" customHeight="false" outlineLevel="0" collapsed="false">
      <c r="A204" s="5" t="s">
        <v>48</v>
      </c>
      <c r="B204" s="5" t="s">
        <v>49</v>
      </c>
      <c r="C204" s="5" t="s">
        <v>116</v>
      </c>
      <c r="D204" s="5" t="s">
        <v>138</v>
      </c>
      <c r="E204" s="5" t="s">
        <v>144</v>
      </c>
      <c r="F204" s="5" t="n">
        <v>0</v>
      </c>
      <c r="G204" s="5" t="n">
        <v>0</v>
      </c>
      <c r="H204" s="5" t="n">
        <f aca="false">G204-F204</f>
        <v>0</v>
      </c>
      <c r="I204" s="5" t="n">
        <f aca="false">ABS(H204)</f>
        <v>0</v>
      </c>
      <c r="J204" s="5" t="n">
        <f aca="false">IF(I204=0,1,0)</f>
        <v>1</v>
      </c>
      <c r="K204" s="5" t="n">
        <f aca="false">IF(I204&lt;=1,1,0)</f>
        <v>1</v>
      </c>
      <c r="L204" s="5" t="s">
        <v>71</v>
      </c>
      <c r="M204" s="5" t="s">
        <v>246</v>
      </c>
    </row>
    <row r="205" customFormat="false" ht="15" hidden="false" customHeight="false" outlineLevel="0" collapsed="false">
      <c r="A205" s="5" t="s">
        <v>48</v>
      </c>
      <c r="B205" s="5" t="s">
        <v>49</v>
      </c>
      <c r="C205" s="5" t="s">
        <v>116</v>
      </c>
      <c r="D205" s="5" t="s">
        <v>138</v>
      </c>
      <c r="E205" s="5" t="s">
        <v>127</v>
      </c>
      <c r="F205" s="5" t="n">
        <v>0</v>
      </c>
      <c r="G205" s="5" t="n">
        <v>0</v>
      </c>
      <c r="H205" s="5" t="n">
        <f aca="false">G205-F205</f>
        <v>0</v>
      </c>
      <c r="I205" s="5" t="n">
        <f aca="false">ABS(H205)</f>
        <v>0</v>
      </c>
      <c r="J205" s="5" t="n">
        <f aca="false">IF(I205=0,1,0)</f>
        <v>1</v>
      </c>
      <c r="K205" s="5" t="n">
        <f aca="false">IF(I205&lt;=1,1,0)</f>
        <v>1</v>
      </c>
      <c r="L205" s="5" t="s">
        <v>71</v>
      </c>
      <c r="M205" s="5" t="s">
        <v>246</v>
      </c>
    </row>
    <row r="206" customFormat="false" ht="15" hidden="false" customHeight="false" outlineLevel="0" collapsed="false">
      <c r="A206" s="5" t="s">
        <v>48</v>
      </c>
      <c r="B206" s="5" t="s">
        <v>49</v>
      </c>
      <c r="C206" s="5" t="s">
        <v>145</v>
      </c>
      <c r="D206" s="5" t="s">
        <v>69</v>
      </c>
      <c r="E206" s="5" t="s">
        <v>146</v>
      </c>
      <c r="F206" s="5" t="n">
        <v>3</v>
      </c>
      <c r="G206" s="5" t="n">
        <v>3</v>
      </c>
      <c r="H206" s="5" t="n">
        <f aca="false">G206-F206</f>
        <v>0</v>
      </c>
      <c r="I206" s="5" t="n">
        <f aca="false">ABS(H206)</f>
        <v>0</v>
      </c>
      <c r="J206" s="5" t="n">
        <f aca="false">IF(I206=0,1,0)</f>
        <v>1</v>
      </c>
      <c r="K206" s="5" t="n">
        <f aca="false">IF(I206&lt;=1,1,0)</f>
        <v>1</v>
      </c>
      <c r="L206" s="5" t="s">
        <v>71</v>
      </c>
      <c r="M206" s="5" t="s">
        <v>247</v>
      </c>
    </row>
    <row r="207" customFormat="false" ht="15" hidden="false" customHeight="false" outlineLevel="0" collapsed="false">
      <c r="A207" s="5" t="s">
        <v>48</v>
      </c>
      <c r="B207" s="5" t="s">
        <v>49</v>
      </c>
      <c r="C207" s="5" t="s">
        <v>145</v>
      </c>
      <c r="D207" s="5" t="s">
        <v>69</v>
      </c>
      <c r="E207" s="5" t="s">
        <v>117</v>
      </c>
      <c r="F207" s="5" t="n">
        <v>3</v>
      </c>
      <c r="G207" s="5" t="n">
        <v>3</v>
      </c>
      <c r="H207" s="5" t="n">
        <f aca="false">G207-F207</f>
        <v>0</v>
      </c>
      <c r="I207" s="5" t="n">
        <f aca="false">ABS(H207)</f>
        <v>0</v>
      </c>
      <c r="J207" s="5" t="n">
        <f aca="false">IF(I207=0,1,0)</f>
        <v>1</v>
      </c>
      <c r="K207" s="5" t="n">
        <f aca="false">IF(I207&lt;=1,1,0)</f>
        <v>1</v>
      </c>
      <c r="L207" s="5" t="s">
        <v>71</v>
      </c>
      <c r="M207" s="5" t="s">
        <v>247</v>
      </c>
    </row>
    <row r="208" customFormat="false" ht="15" hidden="false" customHeight="false" outlineLevel="0" collapsed="false">
      <c r="A208" s="5" t="s">
        <v>48</v>
      </c>
      <c r="B208" s="5" t="s">
        <v>49</v>
      </c>
      <c r="C208" s="5" t="s">
        <v>145</v>
      </c>
      <c r="D208" s="5" t="s">
        <v>69</v>
      </c>
      <c r="E208" s="5" t="s">
        <v>148</v>
      </c>
      <c r="F208" s="5" t="n">
        <v>3</v>
      </c>
      <c r="G208" s="5" t="n">
        <v>3</v>
      </c>
      <c r="H208" s="5" t="n">
        <f aca="false">G208-F208</f>
        <v>0</v>
      </c>
      <c r="I208" s="5" t="n">
        <f aca="false">ABS(H208)</f>
        <v>0</v>
      </c>
      <c r="J208" s="5" t="n">
        <f aca="false">IF(I208=0,1,0)</f>
        <v>1</v>
      </c>
      <c r="K208" s="5" t="n">
        <f aca="false">IF(I208&lt;=1,1,0)</f>
        <v>1</v>
      </c>
      <c r="L208" s="5" t="s">
        <v>71</v>
      </c>
      <c r="M208" s="5" t="s">
        <v>247</v>
      </c>
    </row>
    <row r="209" customFormat="false" ht="15" hidden="false" customHeight="false" outlineLevel="0" collapsed="false">
      <c r="A209" s="5" t="s">
        <v>48</v>
      </c>
      <c r="B209" s="5" t="s">
        <v>49</v>
      </c>
      <c r="C209" s="5" t="s">
        <v>145</v>
      </c>
      <c r="D209" s="5" t="s">
        <v>69</v>
      </c>
      <c r="E209" s="5" t="s">
        <v>149</v>
      </c>
      <c r="F209" s="5" t="n">
        <v>3</v>
      </c>
      <c r="G209" s="5" t="n">
        <v>3</v>
      </c>
      <c r="H209" s="5" t="n">
        <f aca="false">G209-F209</f>
        <v>0</v>
      </c>
      <c r="I209" s="5" t="n">
        <f aca="false">ABS(H209)</f>
        <v>0</v>
      </c>
      <c r="J209" s="5" t="n">
        <f aca="false">IF(I209=0,1,0)</f>
        <v>1</v>
      </c>
      <c r="K209" s="5" t="n">
        <f aca="false">IF(I209&lt;=1,1,0)</f>
        <v>1</v>
      </c>
      <c r="L209" s="5" t="s">
        <v>71</v>
      </c>
      <c r="M209" s="5" t="s">
        <v>247</v>
      </c>
    </row>
    <row r="210" customFormat="false" ht="15" hidden="false" customHeight="false" outlineLevel="0" collapsed="false">
      <c r="A210" s="16" t="s">
        <v>48</v>
      </c>
      <c r="B210" s="16" t="s">
        <v>49</v>
      </c>
      <c r="C210" s="16" t="s">
        <v>145</v>
      </c>
      <c r="D210" s="16" t="s">
        <v>114</v>
      </c>
      <c r="E210" s="16" t="s">
        <v>150</v>
      </c>
      <c r="F210" s="16" t="n">
        <v>2</v>
      </c>
      <c r="G210" s="16" t="n">
        <v>3</v>
      </c>
      <c r="H210" s="16" t="n">
        <f aca="false">G210-F210</f>
        <v>1</v>
      </c>
      <c r="I210" s="16" t="n">
        <f aca="false">ABS(H210)</f>
        <v>1</v>
      </c>
      <c r="J210" s="16" t="n">
        <f aca="false">IF(I210=0,1,0)</f>
        <v>0</v>
      </c>
      <c r="K210" s="16" t="n">
        <f aca="false">IF(I210&lt;=1,1,0)</f>
        <v>1</v>
      </c>
      <c r="L210" s="16" t="s">
        <v>76</v>
      </c>
      <c r="M210" s="16" t="s">
        <v>248</v>
      </c>
    </row>
    <row r="211" customFormat="false" ht="15" hidden="false" customHeight="false" outlineLevel="0" collapsed="false">
      <c r="A211" s="16" t="s">
        <v>48</v>
      </c>
      <c r="B211" s="16" t="s">
        <v>49</v>
      </c>
      <c r="C211" s="16" t="s">
        <v>145</v>
      </c>
      <c r="D211" s="16" t="s">
        <v>114</v>
      </c>
      <c r="E211" s="16" t="s">
        <v>152</v>
      </c>
      <c r="F211" s="16" t="n">
        <v>1</v>
      </c>
      <c r="G211" s="16" t="n">
        <v>0</v>
      </c>
      <c r="H211" s="16" t="n">
        <f aca="false">G211-F211</f>
        <v>-1</v>
      </c>
      <c r="I211" s="16" t="n">
        <f aca="false">ABS(H211)</f>
        <v>1</v>
      </c>
      <c r="J211" s="16" t="n">
        <f aca="false">IF(I211=0,1,0)</f>
        <v>0</v>
      </c>
      <c r="K211" s="16" t="n">
        <f aca="false">IF(I211&lt;=1,1,0)</f>
        <v>1</v>
      </c>
      <c r="L211" s="16" t="s">
        <v>76</v>
      </c>
      <c r="M211" s="16" t="s">
        <v>248</v>
      </c>
    </row>
    <row r="212" customFormat="false" ht="15" hidden="false" customHeight="false" outlineLevel="0" collapsed="false">
      <c r="A212" s="16" t="s">
        <v>48</v>
      </c>
      <c r="B212" s="16" t="s">
        <v>49</v>
      </c>
      <c r="C212" s="16" t="s">
        <v>145</v>
      </c>
      <c r="D212" s="16" t="s">
        <v>114</v>
      </c>
      <c r="E212" s="16" t="s">
        <v>153</v>
      </c>
      <c r="F212" s="16" t="n">
        <v>2</v>
      </c>
      <c r="G212" s="16" t="n">
        <v>0</v>
      </c>
      <c r="H212" s="16" t="n">
        <f aca="false">G212-F212</f>
        <v>-2</v>
      </c>
      <c r="I212" s="16" t="n">
        <f aca="false">ABS(H212)</f>
        <v>2</v>
      </c>
      <c r="J212" s="16" t="n">
        <f aca="false">IF(I212=0,1,0)</f>
        <v>0</v>
      </c>
      <c r="K212" s="16" t="n">
        <f aca="false">IF(I212&lt;=1,1,0)</f>
        <v>0</v>
      </c>
      <c r="L212" s="16" t="s">
        <v>76</v>
      </c>
      <c r="M212" s="16" t="s">
        <v>248</v>
      </c>
    </row>
    <row r="213" customFormat="false" ht="15" hidden="false" customHeight="false" outlineLevel="0" collapsed="false">
      <c r="A213" s="16" t="s">
        <v>48</v>
      </c>
      <c r="B213" s="16" t="s">
        <v>49</v>
      </c>
      <c r="C213" s="16" t="s">
        <v>145</v>
      </c>
      <c r="D213" s="16" t="s">
        <v>114</v>
      </c>
      <c r="E213" s="16" t="s">
        <v>154</v>
      </c>
      <c r="F213" s="16" t="n">
        <v>2</v>
      </c>
      <c r="G213" s="16" t="n">
        <v>3</v>
      </c>
      <c r="H213" s="16" t="n">
        <f aca="false">G213-F213</f>
        <v>1</v>
      </c>
      <c r="I213" s="16" t="n">
        <f aca="false">ABS(H213)</f>
        <v>1</v>
      </c>
      <c r="J213" s="16" t="n">
        <f aca="false">IF(I213=0,1,0)</f>
        <v>0</v>
      </c>
      <c r="K213" s="16" t="n">
        <f aca="false">IF(I213&lt;=1,1,0)</f>
        <v>1</v>
      </c>
      <c r="L213" s="16" t="s">
        <v>76</v>
      </c>
      <c r="M213" s="16" t="s">
        <v>248</v>
      </c>
    </row>
    <row r="214" customFormat="false" ht="15" hidden="false" customHeight="false" outlineLevel="0" collapsed="false">
      <c r="A214" s="16" t="s">
        <v>48</v>
      </c>
      <c r="B214" s="16" t="s">
        <v>49</v>
      </c>
      <c r="C214" s="16" t="s">
        <v>145</v>
      </c>
      <c r="D214" s="16" t="s">
        <v>114</v>
      </c>
      <c r="E214" s="16" t="s">
        <v>155</v>
      </c>
      <c r="F214" s="16" t="n">
        <v>2</v>
      </c>
      <c r="G214" s="16" t="n">
        <v>0</v>
      </c>
      <c r="H214" s="16" t="n">
        <f aca="false">G214-F214</f>
        <v>-2</v>
      </c>
      <c r="I214" s="16" t="n">
        <f aca="false">ABS(H214)</f>
        <v>2</v>
      </c>
      <c r="J214" s="16" t="n">
        <f aca="false">IF(I214=0,1,0)</f>
        <v>0</v>
      </c>
      <c r="K214" s="16" t="n">
        <f aca="false">IF(I214&lt;=1,1,0)</f>
        <v>0</v>
      </c>
      <c r="L214" s="16" t="s">
        <v>76</v>
      </c>
      <c r="M214" s="16" t="s">
        <v>248</v>
      </c>
    </row>
    <row r="215" customFormat="false" ht="15" hidden="false" customHeight="false" outlineLevel="0" collapsed="false">
      <c r="A215" s="16" t="s">
        <v>48</v>
      </c>
      <c r="B215" s="16" t="s">
        <v>49</v>
      </c>
      <c r="C215" s="16" t="s">
        <v>145</v>
      </c>
      <c r="D215" s="16" t="s">
        <v>156</v>
      </c>
      <c r="E215" s="16" t="s">
        <v>157</v>
      </c>
      <c r="F215" s="16" t="n">
        <v>1</v>
      </c>
      <c r="G215" s="16" t="n">
        <v>2</v>
      </c>
      <c r="H215" s="16" t="n">
        <f aca="false">G215-F215</f>
        <v>1</v>
      </c>
      <c r="I215" s="16" t="n">
        <f aca="false">ABS(H215)</f>
        <v>1</v>
      </c>
      <c r="J215" s="16" t="n">
        <f aca="false">IF(I215=0,1,0)</f>
        <v>0</v>
      </c>
      <c r="K215" s="16" t="n">
        <f aca="false">IF(I215&lt;=1,1,0)</f>
        <v>1</v>
      </c>
      <c r="L215" s="16" t="s">
        <v>76</v>
      </c>
      <c r="M215" s="16" t="s">
        <v>249</v>
      </c>
    </row>
    <row r="216" customFormat="false" ht="15" hidden="false" customHeight="false" outlineLevel="0" collapsed="false">
      <c r="A216" s="5" t="s">
        <v>48</v>
      </c>
      <c r="B216" s="5" t="s">
        <v>49</v>
      </c>
      <c r="C216" s="5" t="s">
        <v>145</v>
      </c>
      <c r="D216" s="5" t="s">
        <v>156</v>
      </c>
      <c r="E216" s="5" t="s">
        <v>159</v>
      </c>
      <c r="F216" s="5" t="n">
        <v>2</v>
      </c>
      <c r="G216" s="5" t="n">
        <v>2</v>
      </c>
      <c r="H216" s="5" t="n">
        <f aca="false">G216-F216</f>
        <v>0</v>
      </c>
      <c r="I216" s="5" t="n">
        <f aca="false">ABS(H216)</f>
        <v>0</v>
      </c>
      <c r="J216" s="5" t="n">
        <f aca="false">IF(I216=0,1,0)</f>
        <v>1</v>
      </c>
      <c r="K216" s="5" t="n">
        <f aca="false">IF(I216&lt;=1,1,0)</f>
        <v>1</v>
      </c>
      <c r="L216" s="5" t="s">
        <v>71</v>
      </c>
      <c r="M216" s="5" t="s">
        <v>249</v>
      </c>
    </row>
    <row r="217" customFormat="false" ht="15" hidden="false" customHeight="false" outlineLevel="0" collapsed="false">
      <c r="A217" s="5" t="s">
        <v>48</v>
      </c>
      <c r="B217" s="5" t="s">
        <v>49</v>
      </c>
      <c r="C217" s="5" t="s">
        <v>145</v>
      </c>
      <c r="D217" s="5" t="s">
        <v>156</v>
      </c>
      <c r="E217" s="5" t="s">
        <v>160</v>
      </c>
      <c r="F217" s="5" t="n">
        <v>2</v>
      </c>
      <c r="G217" s="5" t="n">
        <v>2</v>
      </c>
      <c r="H217" s="5" t="n">
        <f aca="false">G217-F217</f>
        <v>0</v>
      </c>
      <c r="I217" s="5" t="n">
        <f aca="false">ABS(H217)</f>
        <v>0</v>
      </c>
      <c r="J217" s="5" t="n">
        <f aca="false">IF(I217=0,1,0)</f>
        <v>1</v>
      </c>
      <c r="K217" s="5" t="n">
        <f aca="false">IF(I217&lt;=1,1,0)</f>
        <v>1</v>
      </c>
      <c r="L217" s="5" t="s">
        <v>71</v>
      </c>
      <c r="M217" s="5" t="s">
        <v>249</v>
      </c>
    </row>
    <row r="218" customFormat="false" ht="15" hidden="false" customHeight="false" outlineLevel="0" collapsed="false">
      <c r="A218" s="16" t="s">
        <v>48</v>
      </c>
      <c r="B218" s="16" t="s">
        <v>49</v>
      </c>
      <c r="C218" s="16" t="s">
        <v>145</v>
      </c>
      <c r="D218" s="16" t="s">
        <v>156</v>
      </c>
      <c r="E218" s="16" t="s">
        <v>161</v>
      </c>
      <c r="F218" s="16" t="n">
        <v>1</v>
      </c>
      <c r="G218" s="16" t="n">
        <v>3</v>
      </c>
      <c r="H218" s="16" t="n">
        <f aca="false">G218-F218</f>
        <v>2</v>
      </c>
      <c r="I218" s="16" t="n">
        <f aca="false">ABS(H218)</f>
        <v>2</v>
      </c>
      <c r="J218" s="16" t="n">
        <f aca="false">IF(I218=0,1,0)</f>
        <v>0</v>
      </c>
      <c r="K218" s="16" t="n">
        <f aca="false">IF(I218&lt;=1,1,0)</f>
        <v>0</v>
      </c>
      <c r="L218" s="16" t="s">
        <v>76</v>
      </c>
      <c r="M218" s="16" t="s">
        <v>249</v>
      </c>
    </row>
    <row r="219" customFormat="false" ht="15" hidden="false" customHeight="false" outlineLevel="0" collapsed="false">
      <c r="A219" s="5" t="s">
        <v>48</v>
      </c>
      <c r="B219" s="5" t="s">
        <v>49</v>
      </c>
      <c r="C219" s="5" t="s">
        <v>145</v>
      </c>
      <c r="D219" s="5" t="s">
        <v>156</v>
      </c>
      <c r="E219" s="5" t="s">
        <v>162</v>
      </c>
      <c r="F219" s="5" t="n">
        <v>3</v>
      </c>
      <c r="G219" s="5" t="n">
        <v>3</v>
      </c>
      <c r="H219" s="5" t="n">
        <f aca="false">G219-F219</f>
        <v>0</v>
      </c>
      <c r="I219" s="5" t="n">
        <f aca="false">ABS(H219)</f>
        <v>0</v>
      </c>
      <c r="J219" s="5" t="n">
        <f aca="false">IF(I219=0,1,0)</f>
        <v>1</v>
      </c>
      <c r="K219" s="5" t="n">
        <f aca="false">IF(I219&lt;=1,1,0)</f>
        <v>1</v>
      </c>
      <c r="L219" s="5" t="s">
        <v>71</v>
      </c>
      <c r="M219" s="5" t="s">
        <v>249</v>
      </c>
    </row>
    <row r="220" customFormat="false" ht="15" hidden="false" customHeight="false" outlineLevel="0" collapsed="false">
      <c r="A220" s="5" t="s">
        <v>48</v>
      </c>
      <c r="B220" s="5" t="s">
        <v>49</v>
      </c>
      <c r="C220" s="5" t="s">
        <v>145</v>
      </c>
      <c r="D220" s="5" t="s">
        <v>163</v>
      </c>
      <c r="E220" s="5" t="s">
        <v>164</v>
      </c>
      <c r="F220" s="5" t="n">
        <v>3</v>
      </c>
      <c r="G220" s="5" t="n">
        <v>3</v>
      </c>
      <c r="H220" s="5" t="n">
        <f aca="false">G220-F220</f>
        <v>0</v>
      </c>
      <c r="I220" s="5" t="n">
        <f aca="false">ABS(H220)</f>
        <v>0</v>
      </c>
      <c r="J220" s="5" t="n">
        <f aca="false">IF(I220=0,1,0)</f>
        <v>1</v>
      </c>
      <c r="K220" s="5" t="n">
        <f aca="false">IF(I220&lt;=1,1,0)</f>
        <v>1</v>
      </c>
      <c r="L220" s="5" t="s">
        <v>71</v>
      </c>
      <c r="M220" s="5" t="s">
        <v>250</v>
      </c>
    </row>
    <row r="221" customFormat="false" ht="15" hidden="false" customHeight="false" outlineLevel="0" collapsed="false">
      <c r="A221" s="5" t="s">
        <v>48</v>
      </c>
      <c r="B221" s="5" t="s">
        <v>49</v>
      </c>
      <c r="C221" s="5" t="s">
        <v>145</v>
      </c>
      <c r="D221" s="5" t="s">
        <v>163</v>
      </c>
      <c r="E221" s="5" t="s">
        <v>166</v>
      </c>
      <c r="F221" s="5" t="n">
        <v>1</v>
      </c>
      <c r="G221" s="5" t="n">
        <v>1</v>
      </c>
      <c r="H221" s="5" t="n">
        <f aca="false">G221-F221</f>
        <v>0</v>
      </c>
      <c r="I221" s="5" t="n">
        <f aca="false">ABS(H221)</f>
        <v>0</v>
      </c>
      <c r="J221" s="5" t="n">
        <f aca="false">IF(I221=0,1,0)</f>
        <v>1</v>
      </c>
      <c r="K221" s="5" t="n">
        <f aca="false">IF(I221&lt;=1,1,0)</f>
        <v>1</v>
      </c>
      <c r="L221" s="5" t="s">
        <v>71</v>
      </c>
      <c r="M221" s="5" t="s">
        <v>250</v>
      </c>
    </row>
    <row r="222" customFormat="false" ht="15" hidden="false" customHeight="false" outlineLevel="0" collapsed="false">
      <c r="A222" s="5" t="s">
        <v>48</v>
      </c>
      <c r="B222" s="5" t="s">
        <v>49</v>
      </c>
      <c r="C222" s="5" t="s">
        <v>145</v>
      </c>
      <c r="D222" s="5" t="s">
        <v>163</v>
      </c>
      <c r="E222" s="5" t="s">
        <v>167</v>
      </c>
      <c r="F222" s="5" t="n">
        <v>3</v>
      </c>
      <c r="G222" s="5" t="n">
        <v>3</v>
      </c>
      <c r="H222" s="5" t="n">
        <f aca="false">G222-F222</f>
        <v>0</v>
      </c>
      <c r="I222" s="5" t="n">
        <f aca="false">ABS(H222)</f>
        <v>0</v>
      </c>
      <c r="J222" s="5" t="n">
        <f aca="false">IF(I222=0,1,0)</f>
        <v>1</v>
      </c>
      <c r="K222" s="5" t="n">
        <f aca="false">IF(I222&lt;=1,1,0)</f>
        <v>1</v>
      </c>
      <c r="L222" s="5" t="s">
        <v>71</v>
      </c>
      <c r="M222" s="5" t="s">
        <v>250</v>
      </c>
    </row>
    <row r="223" customFormat="false" ht="15" hidden="false" customHeight="false" outlineLevel="0" collapsed="false">
      <c r="A223" s="16" t="s">
        <v>48</v>
      </c>
      <c r="B223" s="16" t="s">
        <v>49</v>
      </c>
      <c r="C223" s="16" t="s">
        <v>145</v>
      </c>
      <c r="D223" s="16" t="s">
        <v>163</v>
      </c>
      <c r="E223" s="16" t="s">
        <v>168</v>
      </c>
      <c r="F223" s="16" t="n">
        <v>2</v>
      </c>
      <c r="G223" s="16" t="n">
        <v>3</v>
      </c>
      <c r="H223" s="16" t="n">
        <f aca="false">G223-F223</f>
        <v>1</v>
      </c>
      <c r="I223" s="16" t="n">
        <f aca="false">ABS(H223)</f>
        <v>1</v>
      </c>
      <c r="J223" s="16" t="n">
        <f aca="false">IF(I223=0,1,0)</f>
        <v>0</v>
      </c>
      <c r="K223" s="16" t="n">
        <f aca="false">IF(I223&lt;=1,1,0)</f>
        <v>1</v>
      </c>
      <c r="L223" s="16" t="s">
        <v>76</v>
      </c>
      <c r="M223" s="16" t="s">
        <v>250</v>
      </c>
    </row>
    <row r="224" customFormat="false" ht="15" hidden="false" customHeight="false" outlineLevel="0" collapsed="false">
      <c r="A224" s="5" t="s">
        <v>48</v>
      </c>
      <c r="B224" s="5" t="s">
        <v>49</v>
      </c>
      <c r="C224" s="5" t="s">
        <v>145</v>
      </c>
      <c r="D224" s="5" t="s">
        <v>163</v>
      </c>
      <c r="E224" s="5" t="s">
        <v>169</v>
      </c>
      <c r="F224" s="5" t="n">
        <v>3</v>
      </c>
      <c r="G224" s="5" t="n">
        <v>3</v>
      </c>
      <c r="H224" s="5" t="n">
        <f aca="false">G224-F224</f>
        <v>0</v>
      </c>
      <c r="I224" s="5" t="n">
        <f aca="false">ABS(H224)</f>
        <v>0</v>
      </c>
      <c r="J224" s="5" t="n">
        <f aca="false">IF(I224=0,1,0)</f>
        <v>1</v>
      </c>
      <c r="K224" s="5" t="n">
        <f aca="false">IF(I224&lt;=1,1,0)</f>
        <v>1</v>
      </c>
      <c r="L224" s="5" t="s">
        <v>71</v>
      </c>
      <c r="M224" s="5" t="s">
        <v>250</v>
      </c>
    </row>
    <row r="225" customFormat="false" ht="15" hidden="false" customHeight="false" outlineLevel="0" collapsed="false">
      <c r="A225" s="5" t="s">
        <v>48</v>
      </c>
      <c r="B225" s="5" t="s">
        <v>49</v>
      </c>
      <c r="C225" s="5" t="s">
        <v>170</v>
      </c>
      <c r="D225" s="5" t="s">
        <v>69</v>
      </c>
      <c r="E225" s="5" t="s">
        <v>171</v>
      </c>
      <c r="F225" s="5" t="n">
        <v>3</v>
      </c>
      <c r="G225" s="5" t="n">
        <v>3</v>
      </c>
      <c r="H225" s="5" t="n">
        <f aca="false">G225-F225</f>
        <v>0</v>
      </c>
      <c r="I225" s="5" t="n">
        <f aca="false">ABS(H225)</f>
        <v>0</v>
      </c>
      <c r="J225" s="5" t="n">
        <f aca="false">IF(I225=0,1,0)</f>
        <v>1</v>
      </c>
      <c r="K225" s="5" t="n">
        <f aca="false">IF(I225&lt;=1,1,0)</f>
        <v>1</v>
      </c>
      <c r="L225" s="5" t="s">
        <v>71</v>
      </c>
      <c r="M225" s="5" t="s">
        <v>251</v>
      </c>
    </row>
    <row r="226" customFormat="false" ht="15" hidden="false" customHeight="false" outlineLevel="0" collapsed="false">
      <c r="A226" s="5" t="s">
        <v>48</v>
      </c>
      <c r="B226" s="5" t="s">
        <v>49</v>
      </c>
      <c r="C226" s="5" t="s">
        <v>170</v>
      </c>
      <c r="D226" s="5" t="s">
        <v>69</v>
      </c>
      <c r="E226" s="5" t="s">
        <v>173</v>
      </c>
      <c r="F226" s="5" t="n">
        <v>3</v>
      </c>
      <c r="G226" s="5" t="n">
        <v>3</v>
      </c>
      <c r="H226" s="5" t="n">
        <f aca="false">G226-F226</f>
        <v>0</v>
      </c>
      <c r="I226" s="5" t="n">
        <f aca="false">ABS(H226)</f>
        <v>0</v>
      </c>
      <c r="J226" s="5" t="n">
        <f aca="false">IF(I226=0,1,0)</f>
        <v>1</v>
      </c>
      <c r="K226" s="5" t="n">
        <f aca="false">IF(I226&lt;=1,1,0)</f>
        <v>1</v>
      </c>
      <c r="L226" s="5" t="s">
        <v>71</v>
      </c>
      <c r="M226" s="5" t="s">
        <v>251</v>
      </c>
    </row>
    <row r="227" customFormat="false" ht="15" hidden="false" customHeight="false" outlineLevel="0" collapsed="false">
      <c r="A227" s="5" t="s">
        <v>48</v>
      </c>
      <c r="B227" s="5" t="s">
        <v>49</v>
      </c>
      <c r="C227" s="5" t="s">
        <v>170</v>
      </c>
      <c r="D227" s="5" t="s">
        <v>69</v>
      </c>
      <c r="E227" s="5" t="s">
        <v>174</v>
      </c>
      <c r="F227" s="5" t="n">
        <v>3</v>
      </c>
      <c r="G227" s="5" t="n">
        <v>3</v>
      </c>
      <c r="H227" s="5" t="n">
        <f aca="false">G227-F227</f>
        <v>0</v>
      </c>
      <c r="I227" s="5" t="n">
        <f aca="false">ABS(H227)</f>
        <v>0</v>
      </c>
      <c r="J227" s="5" t="n">
        <f aca="false">IF(I227=0,1,0)</f>
        <v>1</v>
      </c>
      <c r="K227" s="5" t="n">
        <f aca="false">IF(I227&lt;=1,1,0)</f>
        <v>1</v>
      </c>
      <c r="L227" s="5" t="s">
        <v>71</v>
      </c>
      <c r="M227" s="5" t="s">
        <v>251</v>
      </c>
    </row>
    <row r="228" customFormat="false" ht="15" hidden="false" customHeight="false" outlineLevel="0" collapsed="false">
      <c r="A228" s="5" t="s">
        <v>48</v>
      </c>
      <c r="B228" s="5" t="s">
        <v>49</v>
      </c>
      <c r="C228" s="5" t="s">
        <v>170</v>
      </c>
      <c r="D228" s="5" t="s">
        <v>107</v>
      </c>
      <c r="E228" s="5" t="s">
        <v>175</v>
      </c>
      <c r="F228" s="5" t="n">
        <v>3</v>
      </c>
      <c r="G228" s="5" t="n">
        <v>3</v>
      </c>
      <c r="H228" s="5" t="n">
        <f aca="false">G228-F228</f>
        <v>0</v>
      </c>
      <c r="I228" s="5" t="n">
        <f aca="false">ABS(H228)</f>
        <v>0</v>
      </c>
      <c r="J228" s="5" t="n">
        <f aca="false">IF(I228=0,1,0)</f>
        <v>1</v>
      </c>
      <c r="K228" s="5" t="n">
        <f aca="false">IF(I228&lt;=1,1,0)</f>
        <v>1</v>
      </c>
      <c r="L228" s="5" t="s">
        <v>71</v>
      </c>
      <c r="M228" s="5" t="s">
        <v>252</v>
      </c>
    </row>
    <row r="229" customFormat="false" ht="15" hidden="false" customHeight="false" outlineLevel="0" collapsed="false">
      <c r="A229" s="5" t="s">
        <v>48</v>
      </c>
      <c r="B229" s="5" t="s">
        <v>49</v>
      </c>
      <c r="C229" s="5" t="s">
        <v>170</v>
      </c>
      <c r="D229" s="5" t="s">
        <v>107</v>
      </c>
      <c r="E229" s="5" t="s">
        <v>177</v>
      </c>
      <c r="F229" s="5" t="n">
        <v>3</v>
      </c>
      <c r="G229" s="5" t="n">
        <v>3</v>
      </c>
      <c r="H229" s="5" t="n">
        <f aca="false">G229-F229</f>
        <v>0</v>
      </c>
      <c r="I229" s="5" t="n">
        <f aca="false">ABS(H229)</f>
        <v>0</v>
      </c>
      <c r="J229" s="5" t="n">
        <f aca="false">IF(I229=0,1,0)</f>
        <v>1</v>
      </c>
      <c r="K229" s="5" t="n">
        <f aca="false">IF(I229&lt;=1,1,0)</f>
        <v>1</v>
      </c>
      <c r="L229" s="5" t="s">
        <v>71</v>
      </c>
      <c r="M229" s="5" t="s">
        <v>252</v>
      </c>
    </row>
    <row r="230" customFormat="false" ht="15" hidden="false" customHeight="false" outlineLevel="0" collapsed="false">
      <c r="A230" s="5" t="s">
        <v>48</v>
      </c>
      <c r="B230" s="5" t="s">
        <v>49</v>
      </c>
      <c r="C230" s="5" t="s">
        <v>170</v>
      </c>
      <c r="D230" s="5" t="s">
        <v>107</v>
      </c>
      <c r="E230" s="5" t="s">
        <v>178</v>
      </c>
      <c r="F230" s="5" t="n">
        <v>3</v>
      </c>
      <c r="G230" s="5" t="n">
        <v>3</v>
      </c>
      <c r="H230" s="5" t="n">
        <f aca="false">G230-F230</f>
        <v>0</v>
      </c>
      <c r="I230" s="5" t="n">
        <f aca="false">ABS(H230)</f>
        <v>0</v>
      </c>
      <c r="J230" s="5" t="n">
        <f aca="false">IF(I230=0,1,0)</f>
        <v>1</v>
      </c>
      <c r="K230" s="5" t="n">
        <f aca="false">IF(I230&lt;=1,1,0)</f>
        <v>1</v>
      </c>
      <c r="L230" s="5" t="s">
        <v>71</v>
      </c>
      <c r="M230" s="5" t="s">
        <v>252</v>
      </c>
    </row>
    <row r="231" customFormat="false" ht="15" hidden="false" customHeight="false" outlineLevel="0" collapsed="false">
      <c r="A231" s="5" t="s">
        <v>48</v>
      </c>
      <c r="B231" s="5" t="s">
        <v>49</v>
      </c>
      <c r="C231" s="5" t="s">
        <v>170</v>
      </c>
      <c r="D231" s="5" t="s">
        <v>107</v>
      </c>
      <c r="E231" s="5" t="s">
        <v>179</v>
      </c>
      <c r="F231" s="5" t="n">
        <v>2</v>
      </c>
      <c r="G231" s="5" t="n">
        <v>2</v>
      </c>
      <c r="H231" s="5" t="n">
        <f aca="false">G231-F231</f>
        <v>0</v>
      </c>
      <c r="I231" s="5" t="n">
        <f aca="false">ABS(H231)</f>
        <v>0</v>
      </c>
      <c r="J231" s="5" t="n">
        <f aca="false">IF(I231=0,1,0)</f>
        <v>1</v>
      </c>
      <c r="K231" s="5" t="n">
        <f aca="false">IF(I231&lt;=1,1,0)</f>
        <v>1</v>
      </c>
      <c r="L231" s="5" t="s">
        <v>71</v>
      </c>
      <c r="M231" s="5" t="s">
        <v>252</v>
      </c>
    </row>
    <row r="232" customFormat="false" ht="15" hidden="false" customHeight="false" outlineLevel="0" collapsed="false">
      <c r="A232" s="5" t="s">
        <v>48</v>
      </c>
      <c r="B232" s="5" t="s">
        <v>49</v>
      </c>
      <c r="C232" s="5" t="s">
        <v>170</v>
      </c>
      <c r="D232" s="5" t="s">
        <v>107</v>
      </c>
      <c r="E232" s="5" t="s">
        <v>180</v>
      </c>
      <c r="F232" s="5" t="n">
        <v>3</v>
      </c>
      <c r="G232" s="5" t="n">
        <v>3</v>
      </c>
      <c r="H232" s="5" t="n">
        <f aca="false">G232-F232</f>
        <v>0</v>
      </c>
      <c r="I232" s="5" t="n">
        <f aca="false">ABS(H232)</f>
        <v>0</v>
      </c>
      <c r="J232" s="5" t="n">
        <f aca="false">IF(I232=0,1,0)</f>
        <v>1</v>
      </c>
      <c r="K232" s="5" t="n">
        <f aca="false">IF(I232&lt;=1,1,0)</f>
        <v>1</v>
      </c>
      <c r="L232" s="5" t="s">
        <v>71</v>
      </c>
      <c r="M232" s="5" t="s">
        <v>252</v>
      </c>
    </row>
    <row r="233" customFormat="false" ht="15" hidden="false" customHeight="false" outlineLevel="0" collapsed="false">
      <c r="A233" s="5" t="s">
        <v>48</v>
      </c>
      <c r="B233" s="5" t="s">
        <v>49</v>
      </c>
      <c r="C233" s="5" t="s">
        <v>170</v>
      </c>
      <c r="D233" s="5" t="s">
        <v>107</v>
      </c>
      <c r="E233" s="5" t="s">
        <v>181</v>
      </c>
      <c r="F233" s="5" t="n">
        <v>3</v>
      </c>
      <c r="G233" s="5" t="n">
        <v>3</v>
      </c>
      <c r="H233" s="5" t="n">
        <f aca="false">G233-F233</f>
        <v>0</v>
      </c>
      <c r="I233" s="5" t="n">
        <f aca="false">ABS(H233)</f>
        <v>0</v>
      </c>
      <c r="J233" s="5" t="n">
        <f aca="false">IF(I233=0,1,0)</f>
        <v>1</v>
      </c>
      <c r="K233" s="5" t="n">
        <f aca="false">IF(I233&lt;=1,1,0)</f>
        <v>1</v>
      </c>
      <c r="L233" s="5" t="s">
        <v>71</v>
      </c>
      <c r="M233" s="5" t="s">
        <v>252</v>
      </c>
    </row>
    <row r="234" customFormat="false" ht="15" hidden="false" customHeight="false" outlineLevel="0" collapsed="false">
      <c r="A234" s="5" t="s">
        <v>48</v>
      </c>
      <c r="B234" s="5" t="s">
        <v>49</v>
      </c>
      <c r="C234" s="5" t="s">
        <v>170</v>
      </c>
      <c r="D234" s="5" t="s">
        <v>182</v>
      </c>
      <c r="E234" s="5" t="s">
        <v>183</v>
      </c>
      <c r="F234" s="5" t="n">
        <v>3</v>
      </c>
      <c r="G234" s="5" t="n">
        <v>3</v>
      </c>
      <c r="H234" s="5" t="n">
        <f aca="false">G234-F234</f>
        <v>0</v>
      </c>
      <c r="I234" s="5" t="n">
        <f aca="false">ABS(H234)</f>
        <v>0</v>
      </c>
      <c r="J234" s="5" t="n">
        <f aca="false">IF(I234=0,1,0)</f>
        <v>1</v>
      </c>
      <c r="K234" s="5" t="n">
        <f aca="false">IF(I234&lt;=1,1,0)</f>
        <v>1</v>
      </c>
      <c r="L234" s="5" t="s">
        <v>71</v>
      </c>
      <c r="M234" s="5" t="s">
        <v>253</v>
      </c>
    </row>
    <row r="235" customFormat="false" ht="15" hidden="false" customHeight="false" outlineLevel="0" collapsed="false">
      <c r="A235" s="5" t="s">
        <v>48</v>
      </c>
      <c r="B235" s="5" t="s">
        <v>49</v>
      </c>
      <c r="C235" s="5" t="s">
        <v>170</v>
      </c>
      <c r="D235" s="5" t="s">
        <v>182</v>
      </c>
      <c r="E235" s="5" t="s">
        <v>185</v>
      </c>
      <c r="F235" s="5" t="n">
        <v>3</v>
      </c>
      <c r="G235" s="5" t="n">
        <v>3</v>
      </c>
      <c r="H235" s="5" t="n">
        <f aca="false">G235-F235</f>
        <v>0</v>
      </c>
      <c r="I235" s="5" t="n">
        <f aca="false">ABS(H235)</f>
        <v>0</v>
      </c>
      <c r="J235" s="5" t="n">
        <f aca="false">IF(I235=0,1,0)</f>
        <v>1</v>
      </c>
      <c r="K235" s="5" t="n">
        <f aca="false">IF(I235&lt;=1,1,0)</f>
        <v>1</v>
      </c>
      <c r="L235" s="5" t="s">
        <v>71</v>
      </c>
      <c r="M235" s="5" t="s">
        <v>253</v>
      </c>
    </row>
    <row r="236" customFormat="false" ht="15" hidden="false" customHeight="false" outlineLevel="0" collapsed="false">
      <c r="A236" s="5" t="s">
        <v>48</v>
      </c>
      <c r="B236" s="5" t="s">
        <v>49</v>
      </c>
      <c r="C236" s="5" t="s">
        <v>170</v>
      </c>
      <c r="D236" s="5" t="s">
        <v>182</v>
      </c>
      <c r="E236" s="5" t="s">
        <v>186</v>
      </c>
      <c r="F236" s="5" t="n">
        <v>3</v>
      </c>
      <c r="G236" s="5" t="n">
        <v>3</v>
      </c>
      <c r="H236" s="5" t="n">
        <f aca="false">G236-F236</f>
        <v>0</v>
      </c>
      <c r="I236" s="5" t="n">
        <f aca="false">ABS(H236)</f>
        <v>0</v>
      </c>
      <c r="J236" s="5" t="n">
        <f aca="false">IF(I236=0,1,0)</f>
        <v>1</v>
      </c>
      <c r="K236" s="5" t="n">
        <f aca="false">IF(I236&lt;=1,1,0)</f>
        <v>1</v>
      </c>
      <c r="L236" s="5" t="s">
        <v>71</v>
      </c>
      <c r="M236" s="5" t="s">
        <v>253</v>
      </c>
    </row>
    <row r="237" customFormat="false" ht="15" hidden="false" customHeight="false" outlineLevel="0" collapsed="false">
      <c r="A237" s="16" t="s">
        <v>48</v>
      </c>
      <c r="B237" s="16" t="s">
        <v>49</v>
      </c>
      <c r="C237" s="16" t="s">
        <v>170</v>
      </c>
      <c r="D237" s="16" t="s">
        <v>182</v>
      </c>
      <c r="E237" s="16" t="s">
        <v>187</v>
      </c>
      <c r="F237" s="16" t="n">
        <v>1</v>
      </c>
      <c r="G237" s="16" t="n">
        <v>0</v>
      </c>
      <c r="H237" s="16" t="n">
        <f aca="false">G237-F237</f>
        <v>-1</v>
      </c>
      <c r="I237" s="16" t="n">
        <f aca="false">ABS(H237)</f>
        <v>1</v>
      </c>
      <c r="J237" s="16" t="n">
        <f aca="false">IF(I237=0,1,0)</f>
        <v>0</v>
      </c>
      <c r="K237" s="16" t="n">
        <f aca="false">IF(I237&lt;=1,1,0)</f>
        <v>1</v>
      </c>
      <c r="L237" s="16" t="s">
        <v>76</v>
      </c>
      <c r="M237" s="16" t="s">
        <v>253</v>
      </c>
    </row>
    <row r="238" customFormat="false" ht="15" hidden="false" customHeight="false" outlineLevel="0" collapsed="false">
      <c r="A238" s="5" t="s">
        <v>48</v>
      </c>
      <c r="B238" s="5" t="s">
        <v>49</v>
      </c>
      <c r="C238" s="5" t="s">
        <v>170</v>
      </c>
      <c r="D238" s="5" t="s">
        <v>182</v>
      </c>
      <c r="E238" s="5" t="s">
        <v>188</v>
      </c>
      <c r="F238" s="5" t="n">
        <v>3</v>
      </c>
      <c r="G238" s="5" t="n">
        <v>3</v>
      </c>
      <c r="H238" s="5" t="n">
        <f aca="false">G238-F238</f>
        <v>0</v>
      </c>
      <c r="I238" s="5" t="n">
        <f aca="false">ABS(H238)</f>
        <v>0</v>
      </c>
      <c r="J238" s="5" t="n">
        <f aca="false">IF(I238=0,1,0)</f>
        <v>1</v>
      </c>
      <c r="K238" s="5" t="n">
        <f aca="false">IF(I238&lt;=1,1,0)</f>
        <v>1</v>
      </c>
      <c r="L238" s="5" t="s">
        <v>71</v>
      </c>
      <c r="M238" s="5" t="s">
        <v>253</v>
      </c>
    </row>
    <row r="239" customFormat="false" ht="15" hidden="false" customHeight="false" outlineLevel="0" collapsed="false">
      <c r="A239" s="5" t="s">
        <v>48</v>
      </c>
      <c r="B239" s="5" t="s">
        <v>49</v>
      </c>
      <c r="C239" s="5" t="s">
        <v>170</v>
      </c>
      <c r="D239" s="5" t="s">
        <v>114</v>
      </c>
      <c r="E239" s="5" t="s">
        <v>189</v>
      </c>
      <c r="F239" s="5" t="n">
        <v>3</v>
      </c>
      <c r="G239" s="5" t="n">
        <v>3</v>
      </c>
      <c r="H239" s="5" t="n">
        <f aca="false">G239-F239</f>
        <v>0</v>
      </c>
      <c r="I239" s="5" t="n">
        <f aca="false">ABS(H239)</f>
        <v>0</v>
      </c>
      <c r="J239" s="5" t="n">
        <f aca="false">IF(I239=0,1,0)</f>
        <v>1</v>
      </c>
      <c r="K239" s="5" t="n">
        <f aca="false">IF(I239&lt;=1,1,0)</f>
        <v>1</v>
      </c>
      <c r="L239" s="5" t="s">
        <v>71</v>
      </c>
      <c r="M239" s="5" t="s">
        <v>254</v>
      </c>
    </row>
    <row r="240" customFormat="false" ht="15" hidden="false" customHeight="false" outlineLevel="0" collapsed="false">
      <c r="A240" s="16" t="s">
        <v>48</v>
      </c>
      <c r="B240" s="16" t="s">
        <v>49</v>
      </c>
      <c r="C240" s="16" t="s">
        <v>170</v>
      </c>
      <c r="D240" s="16" t="s">
        <v>114</v>
      </c>
      <c r="E240" s="16" t="s">
        <v>191</v>
      </c>
      <c r="F240" s="16" t="n">
        <v>1</v>
      </c>
      <c r="G240" s="16" t="n">
        <v>0</v>
      </c>
      <c r="H240" s="16" t="n">
        <f aca="false">G240-F240</f>
        <v>-1</v>
      </c>
      <c r="I240" s="16" t="n">
        <f aca="false">ABS(H240)</f>
        <v>1</v>
      </c>
      <c r="J240" s="16" t="n">
        <f aca="false">IF(I240=0,1,0)</f>
        <v>0</v>
      </c>
      <c r="K240" s="16" t="n">
        <f aca="false">IF(I240&lt;=1,1,0)</f>
        <v>1</v>
      </c>
      <c r="L240" s="16" t="s">
        <v>76</v>
      </c>
      <c r="M240" s="16" t="s">
        <v>254</v>
      </c>
    </row>
    <row r="241" customFormat="false" ht="15" hidden="false" customHeight="false" outlineLevel="0" collapsed="false">
      <c r="A241" s="5" t="s">
        <v>48</v>
      </c>
      <c r="B241" s="5" t="s">
        <v>49</v>
      </c>
      <c r="C241" s="5" t="s">
        <v>170</v>
      </c>
      <c r="D241" s="5" t="s">
        <v>114</v>
      </c>
      <c r="E241" s="5" t="s">
        <v>192</v>
      </c>
      <c r="F241" s="5" t="n">
        <v>3</v>
      </c>
      <c r="G241" s="5" t="n">
        <v>3</v>
      </c>
      <c r="H241" s="5" t="n">
        <f aca="false">G241-F241</f>
        <v>0</v>
      </c>
      <c r="I241" s="5" t="n">
        <f aca="false">ABS(H241)</f>
        <v>0</v>
      </c>
      <c r="J241" s="5" t="n">
        <f aca="false">IF(I241=0,1,0)</f>
        <v>1</v>
      </c>
      <c r="K241" s="5" t="n">
        <f aca="false">IF(I241&lt;=1,1,0)</f>
        <v>1</v>
      </c>
      <c r="L241" s="5" t="s">
        <v>71</v>
      </c>
      <c r="M241" s="5" t="s">
        <v>254</v>
      </c>
    </row>
    <row r="242" customFormat="false" ht="15" hidden="false" customHeight="false" outlineLevel="0" collapsed="false">
      <c r="A242" s="16" t="s">
        <v>48</v>
      </c>
      <c r="B242" s="16" t="s">
        <v>49</v>
      </c>
      <c r="C242" s="16" t="s">
        <v>170</v>
      </c>
      <c r="D242" s="16" t="s">
        <v>114</v>
      </c>
      <c r="E242" s="16" t="s">
        <v>193</v>
      </c>
      <c r="F242" s="16" t="n">
        <v>1</v>
      </c>
      <c r="G242" s="16" t="n">
        <v>0</v>
      </c>
      <c r="H242" s="16" t="n">
        <f aca="false">G242-F242</f>
        <v>-1</v>
      </c>
      <c r="I242" s="16" t="n">
        <f aca="false">ABS(H242)</f>
        <v>1</v>
      </c>
      <c r="J242" s="16" t="n">
        <f aca="false">IF(I242=0,1,0)</f>
        <v>0</v>
      </c>
      <c r="K242" s="16" t="n">
        <f aca="false">IF(I242&lt;=1,1,0)</f>
        <v>1</v>
      </c>
      <c r="L242" s="16" t="s">
        <v>76</v>
      </c>
      <c r="M242" s="16" t="s">
        <v>254</v>
      </c>
    </row>
    <row r="243" customFormat="false" ht="15" hidden="false" customHeight="false" outlineLevel="0" collapsed="false">
      <c r="A243" s="5" t="s">
        <v>48</v>
      </c>
      <c r="B243" s="5" t="s">
        <v>49</v>
      </c>
      <c r="C243" s="5" t="s">
        <v>170</v>
      </c>
      <c r="D243" s="5" t="s">
        <v>114</v>
      </c>
      <c r="E243" s="5" t="s">
        <v>194</v>
      </c>
      <c r="F243" s="5" t="n">
        <v>3</v>
      </c>
      <c r="G243" s="5" t="n">
        <v>3</v>
      </c>
      <c r="H243" s="5" t="n">
        <f aca="false">G243-F243</f>
        <v>0</v>
      </c>
      <c r="I243" s="5" t="n">
        <f aca="false">ABS(H243)</f>
        <v>0</v>
      </c>
      <c r="J243" s="5" t="n">
        <f aca="false">IF(I243=0,1,0)</f>
        <v>1</v>
      </c>
      <c r="K243" s="5" t="n">
        <f aca="false">IF(I243&lt;=1,1,0)</f>
        <v>1</v>
      </c>
      <c r="L243" s="5" t="s">
        <v>71</v>
      </c>
      <c r="M243" s="5" t="s">
        <v>254</v>
      </c>
    </row>
    <row r="244" customFormat="false" ht="15" hidden="false" customHeight="false" outlineLevel="0" collapsed="false">
      <c r="A244" s="5" t="s">
        <v>48</v>
      </c>
      <c r="B244" s="5" t="s">
        <v>49</v>
      </c>
      <c r="C244" s="5" t="s">
        <v>195</v>
      </c>
      <c r="D244" s="5" t="s">
        <v>196</v>
      </c>
      <c r="E244" s="5" t="s">
        <v>197</v>
      </c>
      <c r="F244" s="5" t="n">
        <v>0</v>
      </c>
      <c r="G244" s="5" t="n">
        <v>0</v>
      </c>
      <c r="H244" s="5" t="n">
        <f aca="false">G244-F244</f>
        <v>0</v>
      </c>
      <c r="I244" s="5" t="n">
        <f aca="false">ABS(H244)</f>
        <v>0</v>
      </c>
      <c r="J244" s="5" t="n">
        <f aca="false">IF(I244=0,1,0)</f>
        <v>1</v>
      </c>
      <c r="K244" s="5" t="n">
        <f aca="false">IF(I244&lt;=1,1,0)</f>
        <v>1</v>
      </c>
      <c r="L244" s="5" t="s">
        <v>71</v>
      </c>
      <c r="M244" s="5" t="s">
        <v>255</v>
      </c>
    </row>
    <row r="245" customFormat="false" ht="15" hidden="false" customHeight="false" outlineLevel="0" collapsed="false">
      <c r="A245" s="5" t="s">
        <v>48</v>
      </c>
      <c r="B245" s="5" t="s">
        <v>49</v>
      </c>
      <c r="C245" s="5" t="s">
        <v>195</v>
      </c>
      <c r="D245" s="5" t="s">
        <v>196</v>
      </c>
      <c r="E245" s="5" t="s">
        <v>199</v>
      </c>
      <c r="F245" s="5" t="n">
        <v>1</v>
      </c>
      <c r="G245" s="5" t="n">
        <v>1</v>
      </c>
      <c r="H245" s="5" t="n">
        <f aca="false">G245-F245</f>
        <v>0</v>
      </c>
      <c r="I245" s="5" t="n">
        <f aca="false">ABS(H245)</f>
        <v>0</v>
      </c>
      <c r="J245" s="5" t="n">
        <f aca="false">IF(I245=0,1,0)</f>
        <v>1</v>
      </c>
      <c r="K245" s="5" t="n">
        <f aca="false">IF(I245&lt;=1,1,0)</f>
        <v>1</v>
      </c>
      <c r="L245" s="5" t="s">
        <v>71</v>
      </c>
      <c r="M245" s="5" t="s">
        <v>255</v>
      </c>
    </row>
    <row r="246" customFormat="false" ht="15" hidden="false" customHeight="false" outlineLevel="0" collapsed="false">
      <c r="A246" s="5" t="s">
        <v>48</v>
      </c>
      <c r="B246" s="5" t="s">
        <v>49</v>
      </c>
      <c r="C246" s="5" t="s">
        <v>195</v>
      </c>
      <c r="D246" s="5" t="s">
        <v>196</v>
      </c>
      <c r="E246" s="5" t="s">
        <v>200</v>
      </c>
      <c r="F246" s="5" t="n">
        <v>1</v>
      </c>
      <c r="G246" s="5" t="n">
        <v>1</v>
      </c>
      <c r="H246" s="5" t="n">
        <f aca="false">G246-F246</f>
        <v>0</v>
      </c>
      <c r="I246" s="5" t="n">
        <f aca="false">ABS(H246)</f>
        <v>0</v>
      </c>
      <c r="J246" s="5" t="n">
        <f aca="false">IF(I246=0,1,0)</f>
        <v>1</v>
      </c>
      <c r="K246" s="5" t="n">
        <f aca="false">IF(I246&lt;=1,1,0)</f>
        <v>1</v>
      </c>
      <c r="L246" s="5" t="s">
        <v>71</v>
      </c>
      <c r="M246" s="5" t="s">
        <v>255</v>
      </c>
    </row>
    <row r="247" customFormat="false" ht="15" hidden="false" customHeight="false" outlineLevel="0" collapsed="false">
      <c r="A247" s="5" t="s">
        <v>48</v>
      </c>
      <c r="B247" s="5" t="s">
        <v>49</v>
      </c>
      <c r="C247" s="5" t="s">
        <v>195</v>
      </c>
      <c r="D247" s="5" t="s">
        <v>196</v>
      </c>
      <c r="E247" s="5" t="s">
        <v>256</v>
      </c>
      <c r="F247" s="5" t="n">
        <v>1</v>
      </c>
      <c r="G247" s="5" t="n">
        <v>1</v>
      </c>
      <c r="H247" s="5" t="n">
        <f aca="false">G247-F247</f>
        <v>0</v>
      </c>
      <c r="I247" s="5" t="n">
        <f aca="false">ABS(H247)</f>
        <v>0</v>
      </c>
      <c r="J247" s="5" t="n">
        <f aca="false">IF(I247=0,1,0)</f>
        <v>1</v>
      </c>
      <c r="K247" s="5" t="n">
        <f aca="false">IF(I247&lt;=1,1,0)</f>
        <v>1</v>
      </c>
      <c r="L247" s="5" t="s">
        <v>71</v>
      </c>
      <c r="M247" s="5" t="s">
        <v>255</v>
      </c>
    </row>
    <row r="248" customFormat="false" ht="15" hidden="false" customHeight="false" outlineLevel="0" collapsed="false">
      <c r="A248" s="5" t="s">
        <v>48</v>
      </c>
      <c r="B248" s="5" t="s">
        <v>49</v>
      </c>
      <c r="C248" s="5" t="s">
        <v>195</v>
      </c>
      <c r="D248" s="5" t="s">
        <v>202</v>
      </c>
      <c r="E248" s="5" t="s">
        <v>203</v>
      </c>
      <c r="F248" s="5" t="n">
        <v>3</v>
      </c>
      <c r="G248" s="5" t="n">
        <v>3</v>
      </c>
      <c r="H248" s="5" t="n">
        <f aca="false">G248-F248</f>
        <v>0</v>
      </c>
      <c r="I248" s="5" t="n">
        <f aca="false">ABS(H248)</f>
        <v>0</v>
      </c>
      <c r="J248" s="5" t="n">
        <f aca="false">IF(I248=0,1,0)</f>
        <v>1</v>
      </c>
      <c r="K248" s="5" t="n">
        <f aca="false">IF(I248&lt;=1,1,0)</f>
        <v>1</v>
      </c>
      <c r="L248" s="5" t="s">
        <v>71</v>
      </c>
      <c r="M248" s="5" t="s">
        <v>257</v>
      </c>
    </row>
    <row r="249" customFormat="false" ht="15" hidden="false" customHeight="false" outlineLevel="0" collapsed="false">
      <c r="A249" s="5" t="s">
        <v>48</v>
      </c>
      <c r="B249" s="5" t="s">
        <v>49</v>
      </c>
      <c r="C249" s="5" t="s">
        <v>195</v>
      </c>
      <c r="D249" s="5" t="s">
        <v>202</v>
      </c>
      <c r="E249" s="5" t="s">
        <v>205</v>
      </c>
      <c r="F249" s="5" t="n">
        <v>3</v>
      </c>
      <c r="G249" s="5" t="n">
        <v>3</v>
      </c>
      <c r="H249" s="5" t="n">
        <f aca="false">G249-F249</f>
        <v>0</v>
      </c>
      <c r="I249" s="5" t="n">
        <f aca="false">ABS(H249)</f>
        <v>0</v>
      </c>
      <c r="J249" s="5" t="n">
        <f aca="false">IF(I249=0,1,0)</f>
        <v>1</v>
      </c>
      <c r="K249" s="5" t="n">
        <f aca="false">IF(I249&lt;=1,1,0)</f>
        <v>1</v>
      </c>
      <c r="L249" s="5" t="s">
        <v>71</v>
      </c>
      <c r="M249" s="5" t="s">
        <v>257</v>
      </c>
    </row>
    <row r="250" customFormat="false" ht="15" hidden="false" customHeight="false" outlineLevel="0" collapsed="false">
      <c r="A250" s="5" t="s">
        <v>48</v>
      </c>
      <c r="B250" s="5" t="s">
        <v>49</v>
      </c>
      <c r="C250" s="5" t="s">
        <v>195</v>
      </c>
      <c r="D250" s="5" t="s">
        <v>202</v>
      </c>
      <c r="E250" s="5" t="s">
        <v>206</v>
      </c>
      <c r="F250" s="5" t="n">
        <v>2</v>
      </c>
      <c r="G250" s="5" t="n">
        <v>2</v>
      </c>
      <c r="H250" s="5" t="n">
        <f aca="false">G250-F250</f>
        <v>0</v>
      </c>
      <c r="I250" s="5" t="n">
        <f aca="false">ABS(H250)</f>
        <v>0</v>
      </c>
      <c r="J250" s="5" t="n">
        <f aca="false">IF(I250=0,1,0)</f>
        <v>1</v>
      </c>
      <c r="K250" s="5" t="n">
        <f aca="false">IF(I250&lt;=1,1,0)</f>
        <v>1</v>
      </c>
      <c r="L250" s="5" t="s">
        <v>71</v>
      </c>
      <c r="M250" s="5" t="s">
        <v>257</v>
      </c>
    </row>
    <row r="251" customFormat="false" ht="15" hidden="false" customHeight="false" outlineLevel="0" collapsed="false">
      <c r="A251" s="5" t="s">
        <v>48</v>
      </c>
      <c r="B251" s="5" t="s">
        <v>49</v>
      </c>
      <c r="C251" s="5" t="s">
        <v>195</v>
      </c>
      <c r="D251" s="5" t="s">
        <v>202</v>
      </c>
      <c r="E251" s="5" t="s">
        <v>207</v>
      </c>
      <c r="F251" s="5" t="n">
        <v>3</v>
      </c>
      <c r="G251" s="5" t="n">
        <v>3</v>
      </c>
      <c r="H251" s="5" t="n">
        <f aca="false">G251-F251</f>
        <v>0</v>
      </c>
      <c r="I251" s="5" t="n">
        <f aca="false">ABS(H251)</f>
        <v>0</v>
      </c>
      <c r="J251" s="5" t="n">
        <f aca="false">IF(I251=0,1,0)</f>
        <v>1</v>
      </c>
      <c r="K251" s="5" t="n">
        <f aca="false">IF(I251&lt;=1,1,0)</f>
        <v>1</v>
      </c>
      <c r="L251" s="5" t="s">
        <v>71</v>
      </c>
      <c r="M251" s="5" t="s">
        <v>257</v>
      </c>
    </row>
    <row r="252" customFormat="false" ht="15" hidden="false" customHeight="false" outlineLevel="0" collapsed="false">
      <c r="A252" s="16" t="s">
        <v>48</v>
      </c>
      <c r="B252" s="16" t="s">
        <v>49</v>
      </c>
      <c r="C252" s="16" t="s">
        <v>195</v>
      </c>
      <c r="D252" s="16" t="s">
        <v>202</v>
      </c>
      <c r="E252" s="16" t="s">
        <v>208</v>
      </c>
      <c r="F252" s="16" t="n">
        <v>3</v>
      </c>
      <c r="G252" s="16" t="n">
        <v>2</v>
      </c>
      <c r="H252" s="16" t="n">
        <f aca="false">G252-F252</f>
        <v>-1</v>
      </c>
      <c r="I252" s="16" t="n">
        <f aca="false">ABS(H252)</f>
        <v>1</v>
      </c>
      <c r="J252" s="16" t="n">
        <f aca="false">IF(I252=0,1,0)</f>
        <v>0</v>
      </c>
      <c r="K252" s="16" t="n">
        <f aca="false">IF(I252&lt;=1,1,0)</f>
        <v>1</v>
      </c>
      <c r="L252" s="16" t="s">
        <v>76</v>
      </c>
      <c r="M252" s="16" t="s">
        <v>257</v>
      </c>
    </row>
    <row r="253" customFormat="false" ht="15" hidden="false" customHeight="false" outlineLevel="0" collapsed="false">
      <c r="A253" s="5" t="s">
        <v>48</v>
      </c>
      <c r="B253" s="5" t="s">
        <v>49</v>
      </c>
      <c r="C253" s="5" t="s">
        <v>195</v>
      </c>
      <c r="D253" s="5" t="s">
        <v>202</v>
      </c>
      <c r="E253" s="5" t="s">
        <v>209</v>
      </c>
      <c r="F253" s="5" t="n">
        <v>3</v>
      </c>
      <c r="G253" s="5" t="n">
        <v>3</v>
      </c>
      <c r="H253" s="5" t="n">
        <f aca="false">G253-F253</f>
        <v>0</v>
      </c>
      <c r="I253" s="5" t="n">
        <f aca="false">ABS(H253)</f>
        <v>0</v>
      </c>
      <c r="J253" s="5" t="n">
        <f aca="false">IF(I253=0,1,0)</f>
        <v>1</v>
      </c>
      <c r="K253" s="5" t="n">
        <f aca="false">IF(I253&lt;=1,1,0)</f>
        <v>1</v>
      </c>
      <c r="L253" s="5" t="s">
        <v>71</v>
      </c>
      <c r="M253" s="5" t="s">
        <v>257</v>
      </c>
    </row>
    <row r="254" customFormat="false" ht="15" hidden="false" customHeight="false" outlineLevel="0" collapsed="false">
      <c r="A254" s="16" t="s">
        <v>48</v>
      </c>
      <c r="B254" s="16" t="s">
        <v>49</v>
      </c>
      <c r="C254" s="16" t="s">
        <v>195</v>
      </c>
      <c r="D254" s="16" t="s">
        <v>202</v>
      </c>
      <c r="E254" s="16" t="s">
        <v>210</v>
      </c>
      <c r="F254" s="16" t="n">
        <v>0</v>
      </c>
      <c r="G254" s="16" t="n">
        <v>3</v>
      </c>
      <c r="H254" s="16" t="n">
        <f aca="false">G254-F254</f>
        <v>3</v>
      </c>
      <c r="I254" s="16" t="n">
        <f aca="false">ABS(H254)</f>
        <v>3</v>
      </c>
      <c r="J254" s="16" t="n">
        <f aca="false">IF(I254=0,1,0)</f>
        <v>0</v>
      </c>
      <c r="K254" s="16" t="n">
        <f aca="false">IF(I254&lt;=1,1,0)</f>
        <v>0</v>
      </c>
      <c r="L254" s="16" t="s">
        <v>76</v>
      </c>
      <c r="M254" s="16" t="s">
        <v>257</v>
      </c>
    </row>
    <row r="255" customFormat="false" ht="15" hidden="false" customHeight="false" outlineLevel="0" collapsed="false">
      <c r="A255" s="5" t="s">
        <v>48</v>
      </c>
      <c r="B255" s="5" t="s">
        <v>49</v>
      </c>
      <c r="C255" s="5" t="s">
        <v>195</v>
      </c>
      <c r="D255" s="5" t="s">
        <v>202</v>
      </c>
      <c r="E255" s="5" t="s">
        <v>211</v>
      </c>
      <c r="F255" s="5" t="n">
        <v>2</v>
      </c>
      <c r="G255" s="5" t="n">
        <v>2</v>
      </c>
      <c r="H255" s="5" t="n">
        <f aca="false">G255-F255</f>
        <v>0</v>
      </c>
      <c r="I255" s="5" t="n">
        <f aca="false">ABS(H255)</f>
        <v>0</v>
      </c>
      <c r="J255" s="5" t="n">
        <f aca="false">IF(I255=0,1,0)</f>
        <v>1</v>
      </c>
      <c r="K255" s="5" t="n">
        <f aca="false">IF(I255&lt;=1,1,0)</f>
        <v>1</v>
      </c>
      <c r="L255" s="5" t="s">
        <v>71</v>
      </c>
      <c r="M255" s="5" t="s">
        <v>257</v>
      </c>
    </row>
    <row r="256" customFormat="false" ht="15" hidden="false" customHeight="false" outlineLevel="0" collapsed="false">
      <c r="A256" s="5" t="s">
        <v>48</v>
      </c>
      <c r="B256" s="5" t="s">
        <v>49</v>
      </c>
      <c r="C256" s="5" t="s">
        <v>195</v>
      </c>
      <c r="D256" s="5" t="s">
        <v>202</v>
      </c>
      <c r="E256" s="5" t="s">
        <v>212</v>
      </c>
      <c r="F256" s="5" t="n">
        <v>0</v>
      </c>
      <c r="G256" s="5" t="n">
        <v>0</v>
      </c>
      <c r="H256" s="5" t="n">
        <f aca="false">G256-F256</f>
        <v>0</v>
      </c>
      <c r="I256" s="5" t="n">
        <f aca="false">ABS(H256)</f>
        <v>0</v>
      </c>
      <c r="J256" s="5" t="n">
        <f aca="false">IF(I256=0,1,0)</f>
        <v>1</v>
      </c>
      <c r="K256" s="5" t="n">
        <f aca="false">IF(I256&lt;=1,1,0)</f>
        <v>1</v>
      </c>
      <c r="L256" s="5" t="s">
        <v>71</v>
      </c>
      <c r="M256" s="5" t="s">
        <v>257</v>
      </c>
    </row>
    <row r="257" customFormat="false" ht="15" hidden="false" customHeight="false" outlineLevel="0" collapsed="false">
      <c r="A257" s="5" t="s">
        <v>48</v>
      </c>
      <c r="B257" s="5" t="s">
        <v>49</v>
      </c>
      <c r="C257" s="5" t="s">
        <v>195</v>
      </c>
      <c r="D257" s="5" t="s">
        <v>202</v>
      </c>
      <c r="E257" s="5" t="s">
        <v>213</v>
      </c>
      <c r="F257" s="5" t="n">
        <v>2</v>
      </c>
      <c r="G257" s="5" t="n">
        <v>2</v>
      </c>
      <c r="H257" s="5" t="n">
        <f aca="false">G257-F257</f>
        <v>0</v>
      </c>
      <c r="I257" s="5" t="n">
        <f aca="false">ABS(H257)</f>
        <v>0</v>
      </c>
      <c r="J257" s="5" t="n">
        <f aca="false">IF(I257=0,1,0)</f>
        <v>1</v>
      </c>
      <c r="K257" s="5" t="n">
        <f aca="false">IF(I257&lt;=1,1,0)</f>
        <v>1</v>
      </c>
      <c r="L257" s="5" t="s">
        <v>71</v>
      </c>
      <c r="M257" s="5" t="s">
        <v>257</v>
      </c>
    </row>
    <row r="258" customFormat="false" ht="15" hidden="false" customHeight="false" outlineLevel="0" collapsed="false">
      <c r="A258" s="16" t="s">
        <v>48</v>
      </c>
      <c r="B258" s="16" t="s">
        <v>49</v>
      </c>
      <c r="C258" s="16" t="s">
        <v>195</v>
      </c>
      <c r="D258" s="16" t="s">
        <v>202</v>
      </c>
      <c r="E258" s="16" t="s">
        <v>214</v>
      </c>
      <c r="F258" s="16" t="n">
        <v>2</v>
      </c>
      <c r="G258" s="16" t="n">
        <v>3</v>
      </c>
      <c r="H258" s="16" t="n">
        <f aca="false">G258-F258</f>
        <v>1</v>
      </c>
      <c r="I258" s="16" t="n">
        <f aca="false">ABS(H258)</f>
        <v>1</v>
      </c>
      <c r="J258" s="16" t="n">
        <f aca="false">IF(I258=0,1,0)</f>
        <v>0</v>
      </c>
      <c r="K258" s="16" t="n">
        <f aca="false">IF(I258&lt;=1,1,0)</f>
        <v>1</v>
      </c>
      <c r="L258" s="16" t="s">
        <v>76</v>
      </c>
      <c r="M258" s="16" t="s">
        <v>257</v>
      </c>
    </row>
    <row r="259" customFormat="false" ht="15" hidden="false" customHeight="false" outlineLevel="0" collapsed="false">
      <c r="A259" s="5" t="s">
        <v>48</v>
      </c>
      <c r="B259" s="5" t="s">
        <v>49</v>
      </c>
      <c r="C259" s="5" t="s">
        <v>195</v>
      </c>
      <c r="D259" s="5" t="s">
        <v>202</v>
      </c>
      <c r="E259" s="5" t="s">
        <v>215</v>
      </c>
      <c r="F259" s="5" t="n">
        <v>0</v>
      </c>
      <c r="G259" s="5" t="n">
        <v>0</v>
      </c>
      <c r="H259" s="5" t="n">
        <f aca="false">G259-F259</f>
        <v>0</v>
      </c>
      <c r="I259" s="5" t="n">
        <f aca="false">ABS(H259)</f>
        <v>0</v>
      </c>
      <c r="J259" s="5" t="n">
        <f aca="false">IF(I259=0,1,0)</f>
        <v>1</v>
      </c>
      <c r="K259" s="5" t="n">
        <f aca="false">IF(I259&lt;=1,1,0)</f>
        <v>1</v>
      </c>
      <c r="L259" s="5" t="s">
        <v>71</v>
      </c>
      <c r="M259" s="5" t="s">
        <v>257</v>
      </c>
    </row>
    <row r="260" customFormat="false" ht="15" hidden="false" customHeight="false" outlineLevel="0" collapsed="false">
      <c r="A260" s="16" t="s">
        <v>48</v>
      </c>
      <c r="B260" s="16" t="s">
        <v>49</v>
      </c>
      <c r="C260" s="16" t="s">
        <v>195</v>
      </c>
      <c r="D260" s="16" t="s">
        <v>202</v>
      </c>
      <c r="E260" s="16" t="s">
        <v>216</v>
      </c>
      <c r="F260" s="16" t="n">
        <v>0</v>
      </c>
      <c r="G260" s="16" t="n">
        <v>2</v>
      </c>
      <c r="H260" s="16" t="n">
        <f aca="false">G260-F260</f>
        <v>2</v>
      </c>
      <c r="I260" s="16" t="n">
        <f aca="false">ABS(H260)</f>
        <v>2</v>
      </c>
      <c r="J260" s="16" t="n">
        <f aca="false">IF(I260=0,1,0)</f>
        <v>0</v>
      </c>
      <c r="K260" s="16" t="n">
        <f aca="false">IF(I260&lt;=1,1,0)</f>
        <v>0</v>
      </c>
      <c r="L260" s="16" t="s">
        <v>76</v>
      </c>
      <c r="M260" s="16" t="s">
        <v>257</v>
      </c>
    </row>
    <row r="261" customFormat="false" ht="15" hidden="false" customHeight="false" outlineLevel="0" collapsed="false">
      <c r="A261" s="5" t="s">
        <v>48</v>
      </c>
      <c r="B261" s="5" t="s">
        <v>49</v>
      </c>
      <c r="C261" s="5" t="s">
        <v>195</v>
      </c>
      <c r="D261" s="5" t="s">
        <v>202</v>
      </c>
      <c r="E261" s="5" t="s">
        <v>217</v>
      </c>
      <c r="F261" s="5" t="n">
        <v>3</v>
      </c>
      <c r="G261" s="5" t="n">
        <v>3</v>
      </c>
      <c r="H261" s="5" t="n">
        <f aca="false">G261-F261</f>
        <v>0</v>
      </c>
      <c r="I261" s="5" t="n">
        <f aca="false">ABS(H261)</f>
        <v>0</v>
      </c>
      <c r="J261" s="5" t="n">
        <f aca="false">IF(I261=0,1,0)</f>
        <v>1</v>
      </c>
      <c r="K261" s="5" t="n">
        <f aca="false">IF(I261&lt;=1,1,0)</f>
        <v>1</v>
      </c>
      <c r="L261" s="5" t="s">
        <v>71</v>
      </c>
      <c r="M261" s="5" t="s">
        <v>257</v>
      </c>
    </row>
    <row r="262" customFormat="false" ht="15" hidden="false" customHeight="false" outlineLevel="0" collapsed="false">
      <c r="A262" s="16" t="s">
        <v>48</v>
      </c>
      <c r="B262" s="16" t="s">
        <v>49</v>
      </c>
      <c r="C262" s="16" t="s">
        <v>195</v>
      </c>
      <c r="D262" s="16" t="s">
        <v>202</v>
      </c>
      <c r="E262" s="16" t="s">
        <v>218</v>
      </c>
      <c r="F262" s="16" t="n">
        <v>2</v>
      </c>
      <c r="G262" s="16" t="n">
        <v>0</v>
      </c>
      <c r="H262" s="16" t="n">
        <f aca="false">G262-F262</f>
        <v>-2</v>
      </c>
      <c r="I262" s="16" t="n">
        <f aca="false">ABS(H262)</f>
        <v>2</v>
      </c>
      <c r="J262" s="16" t="n">
        <f aca="false">IF(I262=0,1,0)</f>
        <v>0</v>
      </c>
      <c r="K262" s="16" t="n">
        <f aca="false">IF(I262&lt;=1,1,0)</f>
        <v>0</v>
      </c>
      <c r="L262" s="16" t="s">
        <v>76</v>
      </c>
      <c r="M262" s="16" t="s">
        <v>257</v>
      </c>
    </row>
    <row r="263" customFormat="false" ht="15" hidden="false" customHeight="false" outlineLevel="0" collapsed="false">
      <c r="A263" s="5" t="s">
        <v>48</v>
      </c>
      <c r="B263" s="5" t="s">
        <v>49</v>
      </c>
      <c r="C263" s="5" t="s">
        <v>195</v>
      </c>
      <c r="D263" s="5" t="s">
        <v>202</v>
      </c>
      <c r="E263" s="5" t="s">
        <v>219</v>
      </c>
      <c r="F263" s="5" t="n">
        <v>0</v>
      </c>
      <c r="G263" s="5" t="n">
        <v>0</v>
      </c>
      <c r="H263" s="5" t="n">
        <f aca="false">G263-F263</f>
        <v>0</v>
      </c>
      <c r="I263" s="5" t="n">
        <f aca="false">ABS(H263)</f>
        <v>0</v>
      </c>
      <c r="J263" s="5" t="n">
        <f aca="false">IF(I263=0,1,0)</f>
        <v>1</v>
      </c>
      <c r="K263" s="5" t="n">
        <f aca="false">IF(I263&lt;=1,1,0)</f>
        <v>1</v>
      </c>
      <c r="L263" s="5" t="s">
        <v>71</v>
      </c>
      <c r="M263" s="5" t="s">
        <v>257</v>
      </c>
    </row>
    <row r="264" customFormat="false" ht="15" hidden="false" customHeight="false" outlineLevel="0" collapsed="false">
      <c r="A264" s="5" t="s">
        <v>48</v>
      </c>
      <c r="B264" s="5" t="s">
        <v>49</v>
      </c>
      <c r="C264" s="5" t="s">
        <v>195</v>
      </c>
      <c r="D264" s="5" t="s">
        <v>202</v>
      </c>
      <c r="E264" s="5" t="s">
        <v>220</v>
      </c>
      <c r="F264" s="5" t="n">
        <v>3</v>
      </c>
      <c r="G264" s="5" t="n">
        <v>3</v>
      </c>
      <c r="H264" s="5" t="n">
        <f aca="false">G264-F264</f>
        <v>0</v>
      </c>
      <c r="I264" s="5" t="n">
        <f aca="false">ABS(H264)</f>
        <v>0</v>
      </c>
      <c r="J264" s="5" t="n">
        <f aca="false">IF(I264=0,1,0)</f>
        <v>1</v>
      </c>
      <c r="K264" s="5" t="n">
        <f aca="false">IF(I264&lt;=1,1,0)</f>
        <v>1</v>
      </c>
      <c r="L264" s="5" t="s">
        <v>71</v>
      </c>
      <c r="M264" s="5" t="s">
        <v>257</v>
      </c>
    </row>
    <row r="265" customFormat="false" ht="15" hidden="false" customHeight="false" outlineLevel="0" collapsed="false">
      <c r="A265" s="16" t="s">
        <v>48</v>
      </c>
      <c r="B265" s="16" t="s">
        <v>49</v>
      </c>
      <c r="C265" s="16" t="s">
        <v>195</v>
      </c>
      <c r="D265" s="16" t="s">
        <v>202</v>
      </c>
      <c r="E265" s="16" t="s">
        <v>221</v>
      </c>
      <c r="F265" s="16" t="n">
        <v>2</v>
      </c>
      <c r="G265" s="16" t="n">
        <v>0</v>
      </c>
      <c r="H265" s="16" t="n">
        <f aca="false">G265-F265</f>
        <v>-2</v>
      </c>
      <c r="I265" s="16" t="n">
        <f aca="false">ABS(H265)</f>
        <v>2</v>
      </c>
      <c r="J265" s="16" t="n">
        <f aca="false">IF(I265=0,1,0)</f>
        <v>0</v>
      </c>
      <c r="K265" s="16" t="n">
        <f aca="false">IF(I265&lt;=1,1,0)</f>
        <v>0</v>
      </c>
      <c r="L265" s="16" t="s">
        <v>76</v>
      </c>
      <c r="M265" s="16" t="s">
        <v>257</v>
      </c>
    </row>
    <row r="266" customFormat="false" ht="15" hidden="false" customHeight="false" outlineLevel="0" collapsed="false">
      <c r="A266" s="5" t="s">
        <v>48</v>
      </c>
      <c r="B266" s="5" t="s">
        <v>49</v>
      </c>
      <c r="C266" s="5" t="s">
        <v>195</v>
      </c>
      <c r="D266" s="5" t="s">
        <v>202</v>
      </c>
      <c r="E266" s="5" t="s">
        <v>222</v>
      </c>
      <c r="F266" s="5" t="n">
        <v>3</v>
      </c>
      <c r="G266" s="5" t="n">
        <v>3</v>
      </c>
      <c r="H266" s="5" t="n">
        <f aca="false">G266-F266</f>
        <v>0</v>
      </c>
      <c r="I266" s="5" t="n">
        <f aca="false">ABS(H266)</f>
        <v>0</v>
      </c>
      <c r="J266" s="5" t="n">
        <f aca="false">IF(I266=0,1,0)</f>
        <v>1</v>
      </c>
      <c r="K266" s="5" t="n">
        <f aca="false">IF(I266&lt;=1,1,0)</f>
        <v>1</v>
      </c>
      <c r="L266" s="5" t="s">
        <v>71</v>
      </c>
      <c r="M266" s="5" t="s">
        <v>257</v>
      </c>
    </row>
    <row r="267" customFormat="false" ht="15" hidden="false" customHeight="false" outlineLevel="0" collapsed="false">
      <c r="A267" s="5" t="s">
        <v>48</v>
      </c>
      <c r="B267" s="5" t="s">
        <v>49</v>
      </c>
      <c r="C267" s="5" t="s">
        <v>195</v>
      </c>
      <c r="D267" s="5" t="s">
        <v>202</v>
      </c>
      <c r="E267" s="5" t="s">
        <v>223</v>
      </c>
      <c r="F267" s="5" t="n">
        <v>3</v>
      </c>
      <c r="G267" s="5" t="n">
        <v>3</v>
      </c>
      <c r="H267" s="5" t="n">
        <f aca="false">G267-F267</f>
        <v>0</v>
      </c>
      <c r="I267" s="5" t="n">
        <f aca="false">ABS(H267)</f>
        <v>0</v>
      </c>
      <c r="J267" s="5" t="n">
        <f aca="false">IF(I267=0,1,0)</f>
        <v>1</v>
      </c>
      <c r="K267" s="5" t="n">
        <f aca="false">IF(I267&lt;=1,1,0)</f>
        <v>1</v>
      </c>
      <c r="L267" s="5" t="s">
        <v>71</v>
      </c>
      <c r="M267" s="5" t="s">
        <v>257</v>
      </c>
    </row>
    <row r="268" customFormat="false" ht="15" hidden="false" customHeight="false" outlineLevel="0" collapsed="false">
      <c r="A268" s="5" t="s">
        <v>50</v>
      </c>
      <c r="B268" s="5" t="s">
        <v>49</v>
      </c>
      <c r="C268" s="5" t="s">
        <v>68</v>
      </c>
      <c r="D268" s="5" t="s">
        <v>69</v>
      </c>
      <c r="E268" s="5" t="s">
        <v>70</v>
      </c>
      <c r="F268" s="5" t="n">
        <v>3</v>
      </c>
      <c r="G268" s="5" t="n">
        <v>3</v>
      </c>
      <c r="H268" s="5" t="n">
        <f aca="false">G268-F268</f>
        <v>0</v>
      </c>
      <c r="I268" s="5" t="n">
        <f aca="false">ABS(H268)</f>
        <v>0</v>
      </c>
      <c r="J268" s="5" t="n">
        <f aca="false">IF(I268=0,1,0)</f>
        <v>1</v>
      </c>
      <c r="K268" s="5" t="n">
        <f aca="false">IF(I268&lt;=1,1,0)</f>
        <v>1</v>
      </c>
      <c r="L268" s="5" t="s">
        <v>71</v>
      </c>
      <c r="M268" s="5" t="s">
        <v>258</v>
      </c>
    </row>
    <row r="269" customFormat="false" ht="15" hidden="false" customHeight="false" outlineLevel="0" collapsed="false">
      <c r="A269" s="5" t="s">
        <v>50</v>
      </c>
      <c r="B269" s="5" t="s">
        <v>49</v>
      </c>
      <c r="C269" s="5" t="s">
        <v>68</v>
      </c>
      <c r="D269" s="5" t="s">
        <v>69</v>
      </c>
      <c r="E269" s="5" t="s">
        <v>73</v>
      </c>
      <c r="F269" s="5" t="n">
        <v>3</v>
      </c>
      <c r="G269" s="5" t="n">
        <v>3</v>
      </c>
      <c r="H269" s="5" t="n">
        <f aca="false">G269-F269</f>
        <v>0</v>
      </c>
      <c r="I269" s="5" t="n">
        <f aca="false">ABS(H269)</f>
        <v>0</v>
      </c>
      <c r="J269" s="5" t="n">
        <f aca="false">IF(I269=0,1,0)</f>
        <v>1</v>
      </c>
      <c r="K269" s="5" t="n">
        <f aca="false">IF(I269&lt;=1,1,0)</f>
        <v>1</v>
      </c>
      <c r="L269" s="5" t="s">
        <v>71</v>
      </c>
      <c r="M269" s="5" t="s">
        <v>258</v>
      </c>
    </row>
    <row r="270" customFormat="false" ht="15" hidden="false" customHeight="false" outlineLevel="0" collapsed="false">
      <c r="A270" s="16" t="s">
        <v>50</v>
      </c>
      <c r="B270" s="16" t="s">
        <v>49</v>
      </c>
      <c r="C270" s="16" t="s">
        <v>68</v>
      </c>
      <c r="D270" s="16" t="s">
        <v>74</v>
      </c>
      <c r="E270" s="16" t="s">
        <v>75</v>
      </c>
      <c r="F270" s="16" t="n">
        <v>3</v>
      </c>
      <c r="G270" s="16" t="n">
        <v>2</v>
      </c>
      <c r="H270" s="16" t="n">
        <f aca="false">G270-F270</f>
        <v>-1</v>
      </c>
      <c r="I270" s="16" t="n">
        <f aca="false">ABS(H270)</f>
        <v>1</v>
      </c>
      <c r="J270" s="16" t="n">
        <f aca="false">IF(I270=0,1,0)</f>
        <v>0</v>
      </c>
      <c r="K270" s="16" t="n">
        <f aca="false">IF(I270&lt;=1,1,0)</f>
        <v>1</v>
      </c>
      <c r="L270" s="16" t="s">
        <v>76</v>
      </c>
      <c r="M270" s="16" t="s">
        <v>259</v>
      </c>
    </row>
    <row r="271" customFormat="false" ht="15" hidden="false" customHeight="false" outlineLevel="0" collapsed="false">
      <c r="A271" s="5" t="s">
        <v>50</v>
      </c>
      <c r="B271" s="5" t="s">
        <v>49</v>
      </c>
      <c r="C271" s="5" t="s">
        <v>68</v>
      </c>
      <c r="D271" s="5" t="s">
        <v>74</v>
      </c>
      <c r="E271" s="5" t="s">
        <v>78</v>
      </c>
      <c r="F271" s="5" t="n">
        <v>3</v>
      </c>
      <c r="G271" s="5" t="n">
        <v>3</v>
      </c>
      <c r="H271" s="5" t="n">
        <f aca="false">G271-F271</f>
        <v>0</v>
      </c>
      <c r="I271" s="5" t="n">
        <f aca="false">ABS(H271)</f>
        <v>0</v>
      </c>
      <c r="J271" s="5" t="n">
        <f aca="false">IF(I271=0,1,0)</f>
        <v>1</v>
      </c>
      <c r="K271" s="5" t="n">
        <f aca="false">IF(I271&lt;=1,1,0)</f>
        <v>1</v>
      </c>
      <c r="L271" s="5" t="s">
        <v>71</v>
      </c>
      <c r="M271" s="5" t="s">
        <v>259</v>
      </c>
    </row>
    <row r="272" customFormat="false" ht="15" hidden="false" customHeight="false" outlineLevel="0" collapsed="false">
      <c r="A272" s="5" t="s">
        <v>50</v>
      </c>
      <c r="B272" s="5" t="s">
        <v>49</v>
      </c>
      <c r="C272" s="5" t="s">
        <v>68</v>
      </c>
      <c r="D272" s="5" t="s">
        <v>74</v>
      </c>
      <c r="E272" s="5" t="s">
        <v>79</v>
      </c>
      <c r="F272" s="5" t="n">
        <v>3</v>
      </c>
      <c r="G272" s="5" t="n">
        <v>3</v>
      </c>
      <c r="H272" s="5" t="n">
        <f aca="false">G272-F272</f>
        <v>0</v>
      </c>
      <c r="I272" s="5" t="n">
        <f aca="false">ABS(H272)</f>
        <v>0</v>
      </c>
      <c r="J272" s="5" t="n">
        <f aca="false">IF(I272=0,1,0)</f>
        <v>1</v>
      </c>
      <c r="K272" s="5" t="n">
        <f aca="false">IF(I272&lt;=1,1,0)</f>
        <v>1</v>
      </c>
      <c r="L272" s="5" t="s">
        <v>71</v>
      </c>
      <c r="M272" s="5" t="s">
        <v>259</v>
      </c>
    </row>
    <row r="273" customFormat="false" ht="15" hidden="false" customHeight="false" outlineLevel="0" collapsed="false">
      <c r="A273" s="5" t="s">
        <v>50</v>
      </c>
      <c r="B273" s="5" t="s">
        <v>49</v>
      </c>
      <c r="C273" s="5" t="s">
        <v>68</v>
      </c>
      <c r="D273" s="5" t="s">
        <v>74</v>
      </c>
      <c r="E273" s="5" t="s">
        <v>80</v>
      </c>
      <c r="F273" s="5" t="n">
        <v>3</v>
      </c>
      <c r="G273" s="5" t="n">
        <v>3</v>
      </c>
      <c r="H273" s="5" t="n">
        <f aca="false">G273-F273</f>
        <v>0</v>
      </c>
      <c r="I273" s="5" t="n">
        <f aca="false">ABS(H273)</f>
        <v>0</v>
      </c>
      <c r="J273" s="5" t="n">
        <f aca="false">IF(I273=0,1,0)</f>
        <v>1</v>
      </c>
      <c r="K273" s="5" t="n">
        <f aca="false">IF(I273&lt;=1,1,0)</f>
        <v>1</v>
      </c>
      <c r="L273" s="5" t="s">
        <v>71</v>
      </c>
      <c r="M273" s="5" t="s">
        <v>259</v>
      </c>
    </row>
    <row r="274" customFormat="false" ht="15" hidden="false" customHeight="false" outlineLevel="0" collapsed="false">
      <c r="A274" s="5" t="s">
        <v>50</v>
      </c>
      <c r="B274" s="5" t="s">
        <v>49</v>
      </c>
      <c r="C274" s="5" t="s">
        <v>68</v>
      </c>
      <c r="D274" s="5" t="s">
        <v>74</v>
      </c>
      <c r="E274" s="5" t="s">
        <v>81</v>
      </c>
      <c r="F274" s="5" t="n">
        <v>2</v>
      </c>
      <c r="G274" s="5" t="n">
        <v>2</v>
      </c>
      <c r="H274" s="5" t="n">
        <f aca="false">G274-F274</f>
        <v>0</v>
      </c>
      <c r="I274" s="5" t="n">
        <f aca="false">ABS(H274)</f>
        <v>0</v>
      </c>
      <c r="J274" s="5" t="n">
        <f aca="false">IF(I274=0,1,0)</f>
        <v>1</v>
      </c>
      <c r="K274" s="5" t="n">
        <f aca="false">IF(I274&lt;=1,1,0)</f>
        <v>1</v>
      </c>
      <c r="L274" s="5" t="s">
        <v>71</v>
      </c>
      <c r="M274" s="5" t="s">
        <v>259</v>
      </c>
    </row>
    <row r="275" customFormat="false" ht="15" hidden="false" customHeight="false" outlineLevel="0" collapsed="false">
      <c r="A275" s="5" t="s">
        <v>50</v>
      </c>
      <c r="B275" s="5" t="s">
        <v>49</v>
      </c>
      <c r="C275" s="5" t="s">
        <v>68</v>
      </c>
      <c r="D275" s="5" t="s">
        <v>82</v>
      </c>
      <c r="E275" s="5" t="s">
        <v>75</v>
      </c>
      <c r="F275" s="5" t="n">
        <v>3</v>
      </c>
      <c r="G275" s="5" t="n">
        <v>3</v>
      </c>
      <c r="H275" s="5" t="n">
        <f aca="false">G275-F275</f>
        <v>0</v>
      </c>
      <c r="I275" s="5" t="n">
        <f aca="false">ABS(H275)</f>
        <v>0</v>
      </c>
      <c r="J275" s="5" t="n">
        <f aca="false">IF(I275=0,1,0)</f>
        <v>1</v>
      </c>
      <c r="K275" s="5" t="n">
        <f aca="false">IF(I275&lt;=1,1,0)</f>
        <v>1</v>
      </c>
      <c r="L275" s="5" t="s">
        <v>71</v>
      </c>
      <c r="M275" s="5" t="s">
        <v>260</v>
      </c>
    </row>
    <row r="276" customFormat="false" ht="15" hidden="false" customHeight="false" outlineLevel="0" collapsed="false">
      <c r="A276" s="5" t="s">
        <v>50</v>
      </c>
      <c r="B276" s="5" t="s">
        <v>49</v>
      </c>
      <c r="C276" s="5" t="s">
        <v>68</v>
      </c>
      <c r="D276" s="5" t="s">
        <v>82</v>
      </c>
      <c r="E276" s="5" t="s">
        <v>78</v>
      </c>
      <c r="F276" s="5" t="n">
        <v>3</v>
      </c>
      <c r="G276" s="5" t="n">
        <v>3</v>
      </c>
      <c r="H276" s="5" t="n">
        <f aca="false">G276-F276</f>
        <v>0</v>
      </c>
      <c r="I276" s="5" t="n">
        <f aca="false">ABS(H276)</f>
        <v>0</v>
      </c>
      <c r="J276" s="5" t="n">
        <f aca="false">IF(I276=0,1,0)</f>
        <v>1</v>
      </c>
      <c r="K276" s="5" t="n">
        <f aca="false">IF(I276&lt;=1,1,0)</f>
        <v>1</v>
      </c>
      <c r="L276" s="5" t="s">
        <v>71</v>
      </c>
      <c r="M276" s="5" t="s">
        <v>260</v>
      </c>
    </row>
    <row r="277" customFormat="false" ht="15" hidden="false" customHeight="false" outlineLevel="0" collapsed="false">
      <c r="A277" s="5" t="s">
        <v>50</v>
      </c>
      <c r="B277" s="5" t="s">
        <v>49</v>
      </c>
      <c r="C277" s="5" t="s">
        <v>68</v>
      </c>
      <c r="D277" s="5" t="s">
        <v>82</v>
      </c>
      <c r="E277" s="5" t="s">
        <v>79</v>
      </c>
      <c r="F277" s="5" t="n">
        <v>3</v>
      </c>
      <c r="G277" s="5" t="n">
        <v>3</v>
      </c>
      <c r="H277" s="5" t="n">
        <f aca="false">G277-F277</f>
        <v>0</v>
      </c>
      <c r="I277" s="5" t="n">
        <f aca="false">ABS(H277)</f>
        <v>0</v>
      </c>
      <c r="J277" s="5" t="n">
        <f aca="false">IF(I277=0,1,0)</f>
        <v>1</v>
      </c>
      <c r="K277" s="5" t="n">
        <f aca="false">IF(I277&lt;=1,1,0)</f>
        <v>1</v>
      </c>
      <c r="L277" s="5" t="s">
        <v>71</v>
      </c>
      <c r="M277" s="5" t="s">
        <v>260</v>
      </c>
    </row>
    <row r="278" customFormat="false" ht="15" hidden="false" customHeight="false" outlineLevel="0" collapsed="false">
      <c r="A278" s="5" t="s">
        <v>50</v>
      </c>
      <c r="B278" s="5" t="s">
        <v>49</v>
      </c>
      <c r="C278" s="5" t="s">
        <v>68</v>
      </c>
      <c r="D278" s="5" t="s">
        <v>82</v>
      </c>
      <c r="E278" s="5" t="s">
        <v>80</v>
      </c>
      <c r="F278" s="5" t="n">
        <v>2</v>
      </c>
      <c r="G278" s="5" t="n">
        <v>2</v>
      </c>
      <c r="H278" s="5" t="n">
        <f aca="false">G278-F278</f>
        <v>0</v>
      </c>
      <c r="I278" s="5" t="n">
        <f aca="false">ABS(H278)</f>
        <v>0</v>
      </c>
      <c r="J278" s="5" t="n">
        <f aca="false">IF(I278=0,1,0)</f>
        <v>1</v>
      </c>
      <c r="K278" s="5" t="n">
        <f aca="false">IF(I278&lt;=1,1,0)</f>
        <v>1</v>
      </c>
      <c r="L278" s="5" t="s">
        <v>71</v>
      </c>
      <c r="M278" s="5" t="s">
        <v>260</v>
      </c>
    </row>
    <row r="279" customFormat="false" ht="15" hidden="false" customHeight="false" outlineLevel="0" collapsed="false">
      <c r="A279" s="5" t="s">
        <v>50</v>
      </c>
      <c r="B279" s="5" t="s">
        <v>49</v>
      </c>
      <c r="C279" s="5" t="s">
        <v>68</v>
      </c>
      <c r="D279" s="5" t="s">
        <v>82</v>
      </c>
      <c r="E279" s="5" t="s">
        <v>81</v>
      </c>
      <c r="F279" s="5" t="n">
        <v>0</v>
      </c>
      <c r="G279" s="5" t="n">
        <v>0</v>
      </c>
      <c r="H279" s="5" t="n">
        <f aca="false">G279-F279</f>
        <v>0</v>
      </c>
      <c r="I279" s="5" t="n">
        <f aca="false">ABS(H279)</f>
        <v>0</v>
      </c>
      <c r="J279" s="5" t="n">
        <f aca="false">IF(I279=0,1,0)</f>
        <v>1</v>
      </c>
      <c r="K279" s="5" t="n">
        <f aca="false">IF(I279&lt;=1,1,0)</f>
        <v>1</v>
      </c>
      <c r="L279" s="5" t="s">
        <v>71</v>
      </c>
      <c r="M279" s="5" t="s">
        <v>260</v>
      </c>
    </row>
    <row r="280" customFormat="false" ht="15" hidden="false" customHeight="false" outlineLevel="0" collapsed="false">
      <c r="A280" s="16" t="s">
        <v>50</v>
      </c>
      <c r="B280" s="16" t="s">
        <v>49</v>
      </c>
      <c r="C280" s="16" t="s">
        <v>84</v>
      </c>
      <c r="D280" s="16" t="s">
        <v>69</v>
      </c>
      <c r="E280" s="16" t="s">
        <v>85</v>
      </c>
      <c r="F280" s="16" t="n">
        <v>3</v>
      </c>
      <c r="G280" s="16" t="n">
        <v>0</v>
      </c>
      <c r="H280" s="16" t="n">
        <f aca="false">G280-F280</f>
        <v>-3</v>
      </c>
      <c r="I280" s="16" t="n">
        <f aca="false">ABS(H280)</f>
        <v>3</v>
      </c>
      <c r="J280" s="16" t="n">
        <f aca="false">IF(I280=0,1,0)</f>
        <v>0</v>
      </c>
      <c r="K280" s="16" t="n">
        <f aca="false">IF(I280&lt;=1,1,0)</f>
        <v>0</v>
      </c>
      <c r="L280" s="16" t="s">
        <v>76</v>
      </c>
      <c r="M280" s="16" t="s">
        <v>261</v>
      </c>
    </row>
    <row r="281" customFormat="false" ht="15" hidden="false" customHeight="false" outlineLevel="0" collapsed="false">
      <c r="A281" s="16" t="s">
        <v>50</v>
      </c>
      <c r="B281" s="16" t="s">
        <v>49</v>
      </c>
      <c r="C281" s="16" t="s">
        <v>84</v>
      </c>
      <c r="D281" s="16" t="s">
        <v>87</v>
      </c>
      <c r="E281" s="16" t="s">
        <v>88</v>
      </c>
      <c r="F281" s="16" t="n">
        <v>3</v>
      </c>
      <c r="G281" s="16" t="n">
        <v>0</v>
      </c>
      <c r="H281" s="16" t="n">
        <f aca="false">G281-F281</f>
        <v>-3</v>
      </c>
      <c r="I281" s="16" t="n">
        <f aca="false">ABS(H281)</f>
        <v>3</v>
      </c>
      <c r="J281" s="16" t="n">
        <f aca="false">IF(I281=0,1,0)</f>
        <v>0</v>
      </c>
      <c r="K281" s="16" t="n">
        <f aca="false">IF(I281&lt;=1,1,0)</f>
        <v>0</v>
      </c>
      <c r="L281" s="16" t="s">
        <v>76</v>
      </c>
      <c r="M281" s="16" t="s">
        <v>262</v>
      </c>
    </row>
    <row r="282" customFormat="false" ht="15" hidden="false" customHeight="false" outlineLevel="0" collapsed="false">
      <c r="A282" s="5" t="s">
        <v>50</v>
      </c>
      <c r="B282" s="5" t="s">
        <v>49</v>
      </c>
      <c r="C282" s="5" t="s">
        <v>84</v>
      </c>
      <c r="D282" s="5" t="s">
        <v>87</v>
      </c>
      <c r="E282" s="5" t="s">
        <v>90</v>
      </c>
      <c r="F282" s="5" t="n">
        <v>0</v>
      </c>
      <c r="G282" s="5" t="n">
        <v>0</v>
      </c>
      <c r="H282" s="5" t="n">
        <f aca="false">G282-F282</f>
        <v>0</v>
      </c>
      <c r="I282" s="5" t="n">
        <f aca="false">ABS(H282)</f>
        <v>0</v>
      </c>
      <c r="J282" s="5" t="n">
        <f aca="false">IF(I282=0,1,0)</f>
        <v>1</v>
      </c>
      <c r="K282" s="5" t="n">
        <f aca="false">IF(I282&lt;=1,1,0)</f>
        <v>1</v>
      </c>
      <c r="L282" s="5" t="s">
        <v>71</v>
      </c>
      <c r="M282" s="5" t="s">
        <v>262</v>
      </c>
    </row>
    <row r="283" customFormat="false" ht="15" hidden="false" customHeight="false" outlineLevel="0" collapsed="false">
      <c r="A283" s="16" t="s">
        <v>50</v>
      </c>
      <c r="B283" s="16" t="s">
        <v>49</v>
      </c>
      <c r="C283" s="16" t="s">
        <v>84</v>
      </c>
      <c r="D283" s="16" t="s">
        <v>87</v>
      </c>
      <c r="E283" s="16" t="s">
        <v>91</v>
      </c>
      <c r="F283" s="16" t="n">
        <v>3</v>
      </c>
      <c r="G283" s="16" t="n">
        <v>0</v>
      </c>
      <c r="H283" s="16" t="n">
        <f aca="false">G283-F283</f>
        <v>-3</v>
      </c>
      <c r="I283" s="16" t="n">
        <f aca="false">ABS(H283)</f>
        <v>3</v>
      </c>
      <c r="J283" s="16" t="n">
        <f aca="false">IF(I283=0,1,0)</f>
        <v>0</v>
      </c>
      <c r="K283" s="16" t="n">
        <f aca="false">IF(I283&lt;=1,1,0)</f>
        <v>0</v>
      </c>
      <c r="L283" s="16" t="s">
        <v>76</v>
      </c>
      <c r="M283" s="16" t="s">
        <v>262</v>
      </c>
    </row>
    <row r="284" customFormat="false" ht="15" hidden="false" customHeight="false" outlineLevel="0" collapsed="false">
      <c r="A284" s="16" t="s">
        <v>50</v>
      </c>
      <c r="B284" s="16" t="s">
        <v>49</v>
      </c>
      <c r="C284" s="16" t="s">
        <v>84</v>
      </c>
      <c r="D284" s="16" t="s">
        <v>87</v>
      </c>
      <c r="E284" s="16" t="s">
        <v>92</v>
      </c>
      <c r="F284" s="16" t="n">
        <v>2</v>
      </c>
      <c r="G284" s="16" t="n">
        <v>0</v>
      </c>
      <c r="H284" s="16" t="n">
        <f aca="false">G284-F284</f>
        <v>-2</v>
      </c>
      <c r="I284" s="16" t="n">
        <f aca="false">ABS(H284)</f>
        <v>2</v>
      </c>
      <c r="J284" s="16" t="n">
        <f aca="false">IF(I284=0,1,0)</f>
        <v>0</v>
      </c>
      <c r="K284" s="16" t="n">
        <f aca="false">IF(I284&lt;=1,1,0)</f>
        <v>0</v>
      </c>
      <c r="L284" s="16" t="s">
        <v>76</v>
      </c>
      <c r="M284" s="16" t="s">
        <v>262</v>
      </c>
    </row>
    <row r="285" customFormat="false" ht="15" hidden="false" customHeight="false" outlineLevel="0" collapsed="false">
      <c r="A285" s="16" t="s">
        <v>50</v>
      </c>
      <c r="B285" s="16" t="s">
        <v>49</v>
      </c>
      <c r="C285" s="16" t="s">
        <v>84</v>
      </c>
      <c r="D285" s="16" t="s">
        <v>87</v>
      </c>
      <c r="E285" s="16" t="s">
        <v>93</v>
      </c>
      <c r="F285" s="16" t="n">
        <v>2</v>
      </c>
      <c r="G285" s="16" t="n">
        <v>0</v>
      </c>
      <c r="H285" s="16" t="n">
        <f aca="false">G285-F285</f>
        <v>-2</v>
      </c>
      <c r="I285" s="16" t="n">
        <f aca="false">ABS(H285)</f>
        <v>2</v>
      </c>
      <c r="J285" s="16" t="n">
        <f aca="false">IF(I285=0,1,0)</f>
        <v>0</v>
      </c>
      <c r="K285" s="16" t="n">
        <f aca="false">IF(I285&lt;=1,1,0)</f>
        <v>0</v>
      </c>
      <c r="L285" s="16" t="s">
        <v>76</v>
      </c>
      <c r="M285" s="16" t="s">
        <v>262</v>
      </c>
    </row>
    <row r="286" customFormat="false" ht="15" hidden="false" customHeight="false" outlineLevel="0" collapsed="false">
      <c r="A286" s="16" t="s">
        <v>50</v>
      </c>
      <c r="B286" s="16" t="s">
        <v>49</v>
      </c>
      <c r="C286" s="16" t="s">
        <v>84</v>
      </c>
      <c r="D286" s="16" t="s">
        <v>87</v>
      </c>
      <c r="E286" s="16" t="s">
        <v>94</v>
      </c>
      <c r="F286" s="16" t="n">
        <v>3</v>
      </c>
      <c r="G286" s="16" t="n">
        <v>0</v>
      </c>
      <c r="H286" s="16" t="n">
        <f aca="false">G286-F286</f>
        <v>-3</v>
      </c>
      <c r="I286" s="16" t="n">
        <f aca="false">ABS(H286)</f>
        <v>3</v>
      </c>
      <c r="J286" s="16" t="n">
        <f aca="false">IF(I286=0,1,0)</f>
        <v>0</v>
      </c>
      <c r="K286" s="16" t="n">
        <f aca="false">IF(I286&lt;=1,1,0)</f>
        <v>0</v>
      </c>
      <c r="L286" s="16" t="s">
        <v>76</v>
      </c>
      <c r="M286" s="16" t="s">
        <v>262</v>
      </c>
    </row>
    <row r="287" customFormat="false" ht="15" hidden="false" customHeight="false" outlineLevel="0" collapsed="false">
      <c r="A287" s="16" t="s">
        <v>50</v>
      </c>
      <c r="B287" s="16" t="s">
        <v>49</v>
      </c>
      <c r="C287" s="16" t="s">
        <v>84</v>
      </c>
      <c r="D287" s="16" t="s">
        <v>87</v>
      </c>
      <c r="E287" s="16" t="s">
        <v>95</v>
      </c>
      <c r="F287" s="16" t="n">
        <v>3</v>
      </c>
      <c r="G287" s="16" t="n">
        <v>0</v>
      </c>
      <c r="H287" s="16" t="n">
        <f aca="false">G287-F287</f>
        <v>-3</v>
      </c>
      <c r="I287" s="16" t="n">
        <f aca="false">ABS(H287)</f>
        <v>3</v>
      </c>
      <c r="J287" s="16" t="n">
        <f aca="false">IF(I287=0,1,0)</f>
        <v>0</v>
      </c>
      <c r="K287" s="16" t="n">
        <f aca="false">IF(I287&lt;=1,1,0)</f>
        <v>0</v>
      </c>
      <c r="L287" s="16" t="s">
        <v>76</v>
      </c>
      <c r="M287" s="16" t="s">
        <v>262</v>
      </c>
    </row>
    <row r="288" customFormat="false" ht="15" hidden="false" customHeight="false" outlineLevel="0" collapsed="false">
      <c r="A288" s="5" t="s">
        <v>50</v>
      </c>
      <c r="B288" s="5" t="s">
        <v>49</v>
      </c>
      <c r="C288" s="5" t="s">
        <v>84</v>
      </c>
      <c r="D288" s="5" t="s">
        <v>96</v>
      </c>
      <c r="E288" s="5" t="s">
        <v>88</v>
      </c>
      <c r="F288" s="5" t="n">
        <v>2</v>
      </c>
      <c r="G288" s="5" t="n">
        <v>2</v>
      </c>
      <c r="H288" s="5" t="n">
        <f aca="false">G288-F288</f>
        <v>0</v>
      </c>
      <c r="I288" s="5" t="n">
        <f aca="false">ABS(H288)</f>
        <v>0</v>
      </c>
      <c r="J288" s="5" t="n">
        <f aca="false">IF(I288=0,1,0)</f>
        <v>1</v>
      </c>
      <c r="K288" s="5" t="n">
        <f aca="false">IF(I288&lt;=1,1,0)</f>
        <v>1</v>
      </c>
      <c r="L288" s="5" t="s">
        <v>71</v>
      </c>
      <c r="M288" s="5" t="s">
        <v>263</v>
      </c>
    </row>
    <row r="289" customFormat="false" ht="15" hidden="false" customHeight="false" outlineLevel="0" collapsed="false">
      <c r="A289" s="5" t="s">
        <v>50</v>
      </c>
      <c r="B289" s="5" t="s">
        <v>49</v>
      </c>
      <c r="C289" s="5" t="s">
        <v>84</v>
      </c>
      <c r="D289" s="5" t="s">
        <v>96</v>
      </c>
      <c r="E289" s="5" t="s">
        <v>98</v>
      </c>
      <c r="F289" s="5" t="n">
        <v>2</v>
      </c>
      <c r="G289" s="5" t="n">
        <v>2</v>
      </c>
      <c r="H289" s="5" t="n">
        <f aca="false">G289-F289</f>
        <v>0</v>
      </c>
      <c r="I289" s="5" t="n">
        <f aca="false">ABS(H289)</f>
        <v>0</v>
      </c>
      <c r="J289" s="5" t="n">
        <f aca="false">IF(I289=0,1,0)</f>
        <v>1</v>
      </c>
      <c r="K289" s="5" t="n">
        <f aca="false">IF(I289&lt;=1,1,0)</f>
        <v>1</v>
      </c>
      <c r="L289" s="5" t="s">
        <v>71</v>
      </c>
      <c r="M289" s="5" t="s">
        <v>263</v>
      </c>
    </row>
    <row r="290" customFormat="false" ht="15" hidden="false" customHeight="false" outlineLevel="0" collapsed="false">
      <c r="A290" s="5" t="s">
        <v>50</v>
      </c>
      <c r="B290" s="5" t="s">
        <v>49</v>
      </c>
      <c r="C290" s="5" t="s">
        <v>84</v>
      </c>
      <c r="D290" s="5" t="s">
        <v>96</v>
      </c>
      <c r="E290" s="5" t="s">
        <v>99</v>
      </c>
      <c r="F290" s="5" t="n">
        <v>2</v>
      </c>
      <c r="G290" s="5" t="n">
        <v>2</v>
      </c>
      <c r="H290" s="5" t="n">
        <f aca="false">G290-F290</f>
        <v>0</v>
      </c>
      <c r="I290" s="5" t="n">
        <f aca="false">ABS(H290)</f>
        <v>0</v>
      </c>
      <c r="J290" s="5" t="n">
        <f aca="false">IF(I290=0,1,0)</f>
        <v>1</v>
      </c>
      <c r="K290" s="5" t="n">
        <f aca="false">IF(I290&lt;=1,1,0)</f>
        <v>1</v>
      </c>
      <c r="L290" s="5" t="s">
        <v>71</v>
      </c>
      <c r="M290" s="5" t="s">
        <v>263</v>
      </c>
    </row>
    <row r="291" customFormat="false" ht="15" hidden="false" customHeight="false" outlineLevel="0" collapsed="false">
      <c r="A291" s="5" t="s">
        <v>50</v>
      </c>
      <c r="B291" s="5" t="s">
        <v>49</v>
      </c>
      <c r="C291" s="5" t="s">
        <v>84</v>
      </c>
      <c r="D291" s="5" t="s">
        <v>96</v>
      </c>
      <c r="E291" s="5" t="s">
        <v>93</v>
      </c>
      <c r="F291" s="5" t="n">
        <v>2</v>
      </c>
      <c r="G291" s="5" t="n">
        <v>2</v>
      </c>
      <c r="H291" s="5" t="n">
        <f aca="false">G291-F291</f>
        <v>0</v>
      </c>
      <c r="I291" s="5" t="n">
        <f aca="false">ABS(H291)</f>
        <v>0</v>
      </c>
      <c r="J291" s="5" t="n">
        <f aca="false">IF(I291=0,1,0)</f>
        <v>1</v>
      </c>
      <c r="K291" s="5" t="n">
        <f aca="false">IF(I291&lt;=1,1,0)</f>
        <v>1</v>
      </c>
      <c r="L291" s="5" t="s">
        <v>71</v>
      </c>
      <c r="M291" s="5" t="s">
        <v>263</v>
      </c>
    </row>
    <row r="292" customFormat="false" ht="15" hidden="false" customHeight="false" outlineLevel="0" collapsed="false">
      <c r="A292" s="5" t="s">
        <v>50</v>
      </c>
      <c r="B292" s="5" t="s">
        <v>49</v>
      </c>
      <c r="C292" s="5" t="s">
        <v>84</v>
      </c>
      <c r="D292" s="5" t="s">
        <v>96</v>
      </c>
      <c r="E292" s="5" t="s">
        <v>95</v>
      </c>
      <c r="F292" s="5" t="n">
        <v>2</v>
      </c>
      <c r="G292" s="5" t="n">
        <v>2</v>
      </c>
      <c r="H292" s="5" t="n">
        <f aca="false">G292-F292</f>
        <v>0</v>
      </c>
      <c r="I292" s="5" t="n">
        <f aca="false">ABS(H292)</f>
        <v>0</v>
      </c>
      <c r="J292" s="5" t="n">
        <f aca="false">IF(I292=0,1,0)</f>
        <v>1</v>
      </c>
      <c r="K292" s="5" t="n">
        <f aca="false">IF(I292&lt;=1,1,0)</f>
        <v>1</v>
      </c>
      <c r="L292" s="5" t="s">
        <v>71</v>
      </c>
      <c r="M292" s="5" t="s">
        <v>263</v>
      </c>
    </row>
    <row r="293" customFormat="false" ht="15" hidden="false" customHeight="false" outlineLevel="0" collapsed="false">
      <c r="A293" s="5" t="s">
        <v>50</v>
      </c>
      <c r="B293" s="5" t="s">
        <v>49</v>
      </c>
      <c r="C293" s="5" t="s">
        <v>100</v>
      </c>
      <c r="D293" s="5" t="s">
        <v>69</v>
      </c>
      <c r="E293" s="5" t="s">
        <v>101</v>
      </c>
      <c r="F293" s="5" t="n">
        <v>0</v>
      </c>
      <c r="G293" s="5" t="n">
        <v>0</v>
      </c>
      <c r="H293" s="5" t="n">
        <f aca="false">G293-F293</f>
        <v>0</v>
      </c>
      <c r="I293" s="5" t="n">
        <f aca="false">ABS(H293)</f>
        <v>0</v>
      </c>
      <c r="J293" s="5" t="n">
        <f aca="false">IF(I293=0,1,0)</f>
        <v>1</v>
      </c>
      <c r="K293" s="5" t="n">
        <f aca="false">IF(I293&lt;=1,1,0)</f>
        <v>1</v>
      </c>
      <c r="L293" s="5" t="s">
        <v>71</v>
      </c>
      <c r="M293" s="5" t="s">
        <v>264</v>
      </c>
    </row>
    <row r="294" customFormat="false" ht="15" hidden="false" customHeight="false" outlineLevel="0" collapsed="false">
      <c r="A294" s="5" t="s">
        <v>50</v>
      </c>
      <c r="B294" s="5" t="s">
        <v>49</v>
      </c>
      <c r="C294" s="5" t="s">
        <v>100</v>
      </c>
      <c r="D294" s="5" t="s">
        <v>69</v>
      </c>
      <c r="E294" s="5" t="s">
        <v>103</v>
      </c>
      <c r="F294" s="5" t="n">
        <v>2</v>
      </c>
      <c r="G294" s="5" t="n">
        <v>2</v>
      </c>
      <c r="H294" s="5" t="n">
        <f aca="false">G294-F294</f>
        <v>0</v>
      </c>
      <c r="I294" s="5" t="n">
        <f aca="false">ABS(H294)</f>
        <v>0</v>
      </c>
      <c r="J294" s="5" t="n">
        <f aca="false">IF(I294=0,1,0)</f>
        <v>1</v>
      </c>
      <c r="K294" s="5" t="n">
        <f aca="false">IF(I294&lt;=1,1,0)</f>
        <v>1</v>
      </c>
      <c r="L294" s="5" t="s">
        <v>71</v>
      </c>
      <c r="M294" s="5" t="s">
        <v>264</v>
      </c>
    </row>
    <row r="295" customFormat="false" ht="15" hidden="false" customHeight="false" outlineLevel="0" collapsed="false">
      <c r="A295" s="5" t="s">
        <v>50</v>
      </c>
      <c r="B295" s="5" t="s">
        <v>49</v>
      </c>
      <c r="C295" s="5" t="s">
        <v>100</v>
      </c>
      <c r="D295" s="5" t="s">
        <v>69</v>
      </c>
      <c r="E295" s="5" t="s">
        <v>265</v>
      </c>
      <c r="F295" s="5" t="n">
        <v>3</v>
      </c>
      <c r="G295" s="5" t="n">
        <v>3</v>
      </c>
      <c r="H295" s="5" t="n">
        <f aca="false">G295-F295</f>
        <v>0</v>
      </c>
      <c r="I295" s="5" t="n">
        <f aca="false">ABS(H295)</f>
        <v>0</v>
      </c>
      <c r="J295" s="5" t="n">
        <f aca="false">IF(I295=0,1,0)</f>
        <v>1</v>
      </c>
      <c r="K295" s="5" t="n">
        <f aca="false">IF(I295&lt;=1,1,0)</f>
        <v>1</v>
      </c>
      <c r="L295" s="5" t="s">
        <v>71</v>
      </c>
      <c r="M295" s="5" t="s">
        <v>264</v>
      </c>
    </row>
    <row r="296" customFormat="false" ht="15" hidden="false" customHeight="false" outlineLevel="0" collapsed="false">
      <c r="A296" s="5" t="s">
        <v>50</v>
      </c>
      <c r="B296" s="5" t="s">
        <v>49</v>
      </c>
      <c r="C296" s="5" t="s">
        <v>100</v>
      </c>
      <c r="D296" s="5" t="s">
        <v>69</v>
      </c>
      <c r="E296" s="5" t="s">
        <v>105</v>
      </c>
      <c r="F296" s="5" t="n">
        <v>1</v>
      </c>
      <c r="G296" s="5" t="n">
        <v>1</v>
      </c>
      <c r="H296" s="5" t="n">
        <f aca="false">G296-F296</f>
        <v>0</v>
      </c>
      <c r="I296" s="5" t="n">
        <f aca="false">ABS(H296)</f>
        <v>0</v>
      </c>
      <c r="J296" s="5" t="n">
        <f aca="false">IF(I296=0,1,0)</f>
        <v>1</v>
      </c>
      <c r="K296" s="5" t="n">
        <f aca="false">IF(I296&lt;=1,1,0)</f>
        <v>1</v>
      </c>
      <c r="L296" s="5" t="s">
        <v>71</v>
      </c>
      <c r="M296" s="5" t="s">
        <v>264</v>
      </c>
    </row>
    <row r="297" customFormat="false" ht="15" hidden="false" customHeight="false" outlineLevel="0" collapsed="false">
      <c r="A297" s="5" t="s">
        <v>50</v>
      </c>
      <c r="B297" s="5" t="s">
        <v>49</v>
      </c>
      <c r="C297" s="5" t="s">
        <v>100</v>
      </c>
      <c r="D297" s="5" t="s">
        <v>69</v>
      </c>
      <c r="E297" s="5" t="s">
        <v>266</v>
      </c>
      <c r="F297" s="5" t="n">
        <v>3</v>
      </c>
      <c r="G297" s="5" t="n">
        <v>3</v>
      </c>
      <c r="H297" s="5" t="n">
        <f aca="false">G297-F297</f>
        <v>0</v>
      </c>
      <c r="I297" s="5" t="n">
        <f aca="false">ABS(H297)</f>
        <v>0</v>
      </c>
      <c r="J297" s="5" t="n">
        <f aca="false">IF(I297=0,1,0)</f>
        <v>1</v>
      </c>
      <c r="K297" s="5" t="n">
        <f aca="false">IF(I297&lt;=1,1,0)</f>
        <v>1</v>
      </c>
      <c r="L297" s="5" t="s">
        <v>71</v>
      </c>
      <c r="M297" s="5" t="s">
        <v>264</v>
      </c>
    </row>
    <row r="298" customFormat="false" ht="15" hidden="false" customHeight="false" outlineLevel="0" collapsed="false">
      <c r="A298" s="16" t="s">
        <v>50</v>
      </c>
      <c r="B298" s="16" t="s">
        <v>49</v>
      </c>
      <c r="C298" s="16" t="s">
        <v>100</v>
      </c>
      <c r="D298" s="16" t="s">
        <v>107</v>
      </c>
      <c r="E298" s="16" t="s">
        <v>267</v>
      </c>
      <c r="F298" s="16" t="n">
        <v>2</v>
      </c>
      <c r="G298" s="16" t="n">
        <v>3</v>
      </c>
      <c r="H298" s="16" t="n">
        <f aca="false">G298-F298</f>
        <v>1</v>
      </c>
      <c r="I298" s="16" t="n">
        <f aca="false">ABS(H298)</f>
        <v>1</v>
      </c>
      <c r="J298" s="16" t="n">
        <f aca="false">IF(I298=0,1,0)</f>
        <v>0</v>
      </c>
      <c r="K298" s="16" t="n">
        <f aca="false">IF(I298&lt;=1,1,0)</f>
        <v>1</v>
      </c>
      <c r="L298" s="16" t="s">
        <v>76</v>
      </c>
      <c r="M298" s="16" t="s">
        <v>268</v>
      </c>
    </row>
    <row r="299" customFormat="false" ht="15" hidden="false" customHeight="false" outlineLevel="0" collapsed="false">
      <c r="A299" s="16" t="s">
        <v>50</v>
      </c>
      <c r="B299" s="16" t="s">
        <v>49</v>
      </c>
      <c r="C299" s="16" t="s">
        <v>100</v>
      </c>
      <c r="D299" s="16" t="s">
        <v>107</v>
      </c>
      <c r="E299" s="16" t="s">
        <v>108</v>
      </c>
      <c r="F299" s="16" t="n">
        <v>1</v>
      </c>
      <c r="G299" s="16" t="n">
        <v>0</v>
      </c>
      <c r="H299" s="16" t="n">
        <f aca="false">G299-F299</f>
        <v>-1</v>
      </c>
      <c r="I299" s="16" t="n">
        <f aca="false">ABS(H299)</f>
        <v>1</v>
      </c>
      <c r="J299" s="16" t="n">
        <f aca="false">IF(I299=0,1,0)</f>
        <v>0</v>
      </c>
      <c r="K299" s="16" t="n">
        <f aca="false">IF(I299&lt;=1,1,0)</f>
        <v>1</v>
      </c>
      <c r="L299" s="16" t="s">
        <v>76</v>
      </c>
      <c r="M299" s="16" t="s">
        <v>268</v>
      </c>
    </row>
    <row r="300" customFormat="false" ht="15" hidden="false" customHeight="false" outlineLevel="0" collapsed="false">
      <c r="A300" s="5" t="s">
        <v>50</v>
      </c>
      <c r="B300" s="5" t="s">
        <v>49</v>
      </c>
      <c r="C300" s="5" t="s">
        <v>100</v>
      </c>
      <c r="D300" s="5" t="s">
        <v>107</v>
      </c>
      <c r="E300" s="5" t="s">
        <v>110</v>
      </c>
      <c r="F300" s="5" t="n">
        <v>3</v>
      </c>
      <c r="G300" s="5" t="n">
        <v>3</v>
      </c>
      <c r="H300" s="5" t="n">
        <f aca="false">G300-F300</f>
        <v>0</v>
      </c>
      <c r="I300" s="5" t="n">
        <f aca="false">ABS(H300)</f>
        <v>0</v>
      </c>
      <c r="J300" s="5" t="n">
        <f aca="false">IF(I300=0,1,0)</f>
        <v>1</v>
      </c>
      <c r="K300" s="5" t="n">
        <f aca="false">IF(I300&lt;=1,1,0)</f>
        <v>1</v>
      </c>
      <c r="L300" s="5" t="s">
        <v>71</v>
      </c>
      <c r="M300" s="5" t="s">
        <v>268</v>
      </c>
    </row>
    <row r="301" customFormat="false" ht="15" hidden="false" customHeight="false" outlineLevel="0" collapsed="false">
      <c r="A301" s="5" t="s">
        <v>50</v>
      </c>
      <c r="B301" s="5" t="s">
        <v>49</v>
      </c>
      <c r="C301" s="5" t="s">
        <v>100</v>
      </c>
      <c r="D301" s="5" t="s">
        <v>107</v>
      </c>
      <c r="E301" s="5" t="s">
        <v>269</v>
      </c>
      <c r="F301" s="5" t="n">
        <v>3</v>
      </c>
      <c r="G301" s="5" t="n">
        <v>3</v>
      </c>
      <c r="H301" s="5" t="n">
        <f aca="false">G301-F301</f>
        <v>0</v>
      </c>
      <c r="I301" s="5" t="n">
        <f aca="false">ABS(H301)</f>
        <v>0</v>
      </c>
      <c r="J301" s="5" t="n">
        <f aca="false">IF(I301=0,1,0)</f>
        <v>1</v>
      </c>
      <c r="K301" s="5" t="n">
        <f aca="false">IF(I301&lt;=1,1,0)</f>
        <v>1</v>
      </c>
      <c r="L301" s="5" t="s">
        <v>71</v>
      </c>
      <c r="M301" s="5" t="s">
        <v>268</v>
      </c>
    </row>
    <row r="302" customFormat="false" ht="15" hidden="false" customHeight="false" outlineLevel="0" collapsed="false">
      <c r="A302" s="5" t="s">
        <v>50</v>
      </c>
      <c r="B302" s="5" t="s">
        <v>49</v>
      </c>
      <c r="C302" s="5" t="s">
        <v>100</v>
      </c>
      <c r="D302" s="5" t="s">
        <v>107</v>
      </c>
      <c r="E302" s="5" t="s">
        <v>270</v>
      </c>
      <c r="F302" s="5" t="n">
        <v>2</v>
      </c>
      <c r="G302" s="5" t="n">
        <v>2</v>
      </c>
      <c r="H302" s="5" t="n">
        <f aca="false">G302-F302</f>
        <v>0</v>
      </c>
      <c r="I302" s="5" t="n">
        <f aca="false">ABS(H302)</f>
        <v>0</v>
      </c>
      <c r="J302" s="5" t="n">
        <f aca="false">IF(I302=0,1,0)</f>
        <v>1</v>
      </c>
      <c r="K302" s="5" t="n">
        <f aca="false">IF(I302&lt;=1,1,0)</f>
        <v>1</v>
      </c>
      <c r="L302" s="5" t="s">
        <v>71</v>
      </c>
      <c r="M302" s="5" t="s">
        <v>268</v>
      </c>
    </row>
    <row r="303" customFormat="false" ht="15" hidden="false" customHeight="false" outlineLevel="0" collapsed="false">
      <c r="A303" s="5" t="s">
        <v>50</v>
      </c>
      <c r="B303" s="5" t="s">
        <v>49</v>
      </c>
      <c r="C303" s="5" t="s">
        <v>100</v>
      </c>
      <c r="D303" s="5" t="s">
        <v>107</v>
      </c>
      <c r="E303" s="5" t="s">
        <v>271</v>
      </c>
      <c r="F303" s="5" t="n">
        <v>2</v>
      </c>
      <c r="G303" s="5" t="n">
        <v>2</v>
      </c>
      <c r="H303" s="5" t="n">
        <f aca="false">G303-F303</f>
        <v>0</v>
      </c>
      <c r="I303" s="5" t="n">
        <f aca="false">ABS(H303)</f>
        <v>0</v>
      </c>
      <c r="J303" s="5" t="n">
        <f aca="false">IF(I303=0,1,0)</f>
        <v>1</v>
      </c>
      <c r="K303" s="5" t="n">
        <f aca="false">IF(I303&lt;=1,1,0)</f>
        <v>1</v>
      </c>
      <c r="L303" s="5" t="s">
        <v>71</v>
      </c>
      <c r="M303" s="5" t="s">
        <v>268</v>
      </c>
    </row>
    <row r="304" customFormat="false" ht="15" hidden="false" customHeight="false" outlineLevel="0" collapsed="false">
      <c r="A304" s="5" t="s">
        <v>50</v>
      </c>
      <c r="B304" s="5" t="s">
        <v>49</v>
      </c>
      <c r="C304" s="5" t="s">
        <v>100</v>
      </c>
      <c r="D304" s="5" t="s">
        <v>114</v>
      </c>
      <c r="E304" s="5" t="s">
        <v>267</v>
      </c>
      <c r="F304" s="5" t="n">
        <v>3</v>
      </c>
      <c r="G304" s="5" t="n">
        <v>3</v>
      </c>
      <c r="H304" s="5" t="n">
        <f aca="false">G304-F304</f>
        <v>0</v>
      </c>
      <c r="I304" s="5" t="n">
        <f aca="false">ABS(H304)</f>
        <v>0</v>
      </c>
      <c r="J304" s="5" t="n">
        <f aca="false">IF(I304=0,1,0)</f>
        <v>1</v>
      </c>
      <c r="K304" s="5" t="n">
        <f aca="false">IF(I304&lt;=1,1,0)</f>
        <v>1</v>
      </c>
      <c r="L304" s="5" t="s">
        <v>71</v>
      </c>
      <c r="M304" s="5" t="s">
        <v>272</v>
      </c>
    </row>
    <row r="305" customFormat="false" ht="15" hidden="false" customHeight="false" outlineLevel="0" collapsed="false">
      <c r="A305" s="16" t="s">
        <v>50</v>
      </c>
      <c r="B305" s="16" t="s">
        <v>49</v>
      </c>
      <c r="C305" s="16" t="s">
        <v>100</v>
      </c>
      <c r="D305" s="16" t="s">
        <v>114</v>
      </c>
      <c r="E305" s="16" t="s">
        <v>108</v>
      </c>
      <c r="F305" s="16" t="n">
        <v>1</v>
      </c>
      <c r="G305" s="16" t="n">
        <v>0</v>
      </c>
      <c r="H305" s="16" t="n">
        <f aca="false">G305-F305</f>
        <v>-1</v>
      </c>
      <c r="I305" s="16" t="n">
        <f aca="false">ABS(H305)</f>
        <v>1</v>
      </c>
      <c r="J305" s="16" t="n">
        <f aca="false">IF(I305=0,1,0)</f>
        <v>0</v>
      </c>
      <c r="K305" s="16" t="n">
        <f aca="false">IF(I305&lt;=1,1,0)</f>
        <v>1</v>
      </c>
      <c r="L305" s="16" t="s">
        <v>76</v>
      </c>
      <c r="M305" s="16" t="s">
        <v>272</v>
      </c>
    </row>
    <row r="306" customFormat="false" ht="15" hidden="false" customHeight="false" outlineLevel="0" collapsed="false">
      <c r="A306" s="5" t="s">
        <v>50</v>
      </c>
      <c r="B306" s="5" t="s">
        <v>49</v>
      </c>
      <c r="C306" s="5" t="s">
        <v>100</v>
      </c>
      <c r="D306" s="5" t="s">
        <v>114</v>
      </c>
      <c r="E306" s="5" t="s">
        <v>110</v>
      </c>
      <c r="F306" s="5" t="n">
        <v>0</v>
      </c>
      <c r="G306" s="5" t="n">
        <v>0</v>
      </c>
      <c r="H306" s="5" t="n">
        <f aca="false">G306-F306</f>
        <v>0</v>
      </c>
      <c r="I306" s="5" t="n">
        <f aca="false">ABS(H306)</f>
        <v>0</v>
      </c>
      <c r="J306" s="5" t="n">
        <f aca="false">IF(I306=0,1,0)</f>
        <v>1</v>
      </c>
      <c r="K306" s="5" t="n">
        <f aca="false">IF(I306&lt;=1,1,0)</f>
        <v>1</v>
      </c>
      <c r="L306" s="5" t="s">
        <v>71</v>
      </c>
      <c r="M306" s="5" t="s">
        <v>272</v>
      </c>
    </row>
    <row r="307" customFormat="false" ht="15" hidden="false" customHeight="false" outlineLevel="0" collapsed="false">
      <c r="A307" s="5" t="s">
        <v>50</v>
      </c>
      <c r="B307" s="5" t="s">
        <v>49</v>
      </c>
      <c r="C307" s="5" t="s">
        <v>100</v>
      </c>
      <c r="D307" s="5" t="s">
        <v>114</v>
      </c>
      <c r="E307" s="5" t="s">
        <v>269</v>
      </c>
      <c r="F307" s="5" t="n">
        <v>3</v>
      </c>
      <c r="G307" s="5" t="n">
        <v>3</v>
      </c>
      <c r="H307" s="5" t="n">
        <f aca="false">G307-F307</f>
        <v>0</v>
      </c>
      <c r="I307" s="5" t="n">
        <f aca="false">ABS(H307)</f>
        <v>0</v>
      </c>
      <c r="J307" s="5" t="n">
        <f aca="false">IF(I307=0,1,0)</f>
        <v>1</v>
      </c>
      <c r="K307" s="5" t="n">
        <f aca="false">IF(I307&lt;=1,1,0)</f>
        <v>1</v>
      </c>
      <c r="L307" s="5" t="s">
        <v>71</v>
      </c>
      <c r="M307" s="5" t="s">
        <v>272</v>
      </c>
    </row>
    <row r="308" customFormat="false" ht="15" hidden="false" customHeight="false" outlineLevel="0" collapsed="false">
      <c r="A308" s="5" t="s">
        <v>50</v>
      </c>
      <c r="B308" s="5" t="s">
        <v>49</v>
      </c>
      <c r="C308" s="5" t="s">
        <v>100</v>
      </c>
      <c r="D308" s="5" t="s">
        <v>114</v>
      </c>
      <c r="E308" s="5" t="s">
        <v>270</v>
      </c>
      <c r="F308" s="5" t="n">
        <v>0</v>
      </c>
      <c r="G308" s="5" t="n">
        <v>0</v>
      </c>
      <c r="H308" s="5" t="n">
        <f aca="false">G308-F308</f>
        <v>0</v>
      </c>
      <c r="I308" s="5" t="n">
        <f aca="false">ABS(H308)</f>
        <v>0</v>
      </c>
      <c r="J308" s="5" t="n">
        <f aca="false">IF(I308=0,1,0)</f>
        <v>1</v>
      </c>
      <c r="K308" s="5" t="n">
        <f aca="false">IF(I308&lt;=1,1,0)</f>
        <v>1</v>
      </c>
      <c r="L308" s="5" t="s">
        <v>71</v>
      </c>
      <c r="M308" s="5" t="s">
        <v>272</v>
      </c>
    </row>
    <row r="309" customFormat="false" ht="15" hidden="false" customHeight="false" outlineLevel="0" collapsed="false">
      <c r="A309" s="5" t="s">
        <v>50</v>
      </c>
      <c r="B309" s="5" t="s">
        <v>49</v>
      </c>
      <c r="C309" s="5" t="s">
        <v>100</v>
      </c>
      <c r="D309" s="5" t="s">
        <v>114</v>
      </c>
      <c r="E309" s="5" t="s">
        <v>271</v>
      </c>
      <c r="F309" s="5" t="n">
        <v>0</v>
      </c>
      <c r="G309" s="5" t="n">
        <v>0</v>
      </c>
      <c r="H309" s="5" t="n">
        <f aca="false">G309-F309</f>
        <v>0</v>
      </c>
      <c r="I309" s="5" t="n">
        <f aca="false">ABS(H309)</f>
        <v>0</v>
      </c>
      <c r="J309" s="5" t="n">
        <f aca="false">IF(I309=0,1,0)</f>
        <v>1</v>
      </c>
      <c r="K309" s="5" t="n">
        <f aca="false">IF(I309&lt;=1,1,0)</f>
        <v>1</v>
      </c>
      <c r="L309" s="5" t="s">
        <v>71</v>
      </c>
      <c r="M309" s="5" t="s">
        <v>272</v>
      </c>
    </row>
    <row r="310" customFormat="false" ht="15" hidden="false" customHeight="false" outlineLevel="0" collapsed="false">
      <c r="A310" s="5" t="s">
        <v>50</v>
      </c>
      <c r="B310" s="5" t="s">
        <v>49</v>
      </c>
      <c r="C310" s="5" t="s">
        <v>116</v>
      </c>
      <c r="D310" s="5" t="s">
        <v>69</v>
      </c>
      <c r="E310" s="5" t="s">
        <v>273</v>
      </c>
      <c r="F310" s="5" t="n">
        <v>3</v>
      </c>
      <c r="G310" s="5" t="n">
        <v>3</v>
      </c>
      <c r="H310" s="5" t="n">
        <f aca="false">G310-F310</f>
        <v>0</v>
      </c>
      <c r="I310" s="5" t="n">
        <f aca="false">ABS(H310)</f>
        <v>0</v>
      </c>
      <c r="J310" s="5" t="n">
        <f aca="false">IF(I310=0,1,0)</f>
        <v>1</v>
      </c>
      <c r="K310" s="5" t="n">
        <f aca="false">IF(I310&lt;=1,1,0)</f>
        <v>1</v>
      </c>
      <c r="L310" s="5" t="s">
        <v>71</v>
      </c>
      <c r="M310" s="5" t="s">
        <v>274</v>
      </c>
    </row>
    <row r="311" customFormat="false" ht="15" hidden="false" customHeight="false" outlineLevel="0" collapsed="false">
      <c r="A311" s="5" t="s">
        <v>50</v>
      </c>
      <c r="B311" s="5" t="s">
        <v>49</v>
      </c>
      <c r="C311" s="5" t="s">
        <v>116</v>
      </c>
      <c r="D311" s="5" t="s">
        <v>69</v>
      </c>
      <c r="E311" s="5" t="s">
        <v>117</v>
      </c>
      <c r="F311" s="5" t="n">
        <v>0</v>
      </c>
      <c r="G311" s="5" t="n">
        <v>0</v>
      </c>
      <c r="H311" s="5" t="n">
        <f aca="false">G311-F311</f>
        <v>0</v>
      </c>
      <c r="I311" s="5" t="n">
        <f aca="false">ABS(H311)</f>
        <v>0</v>
      </c>
      <c r="J311" s="5" t="n">
        <f aca="false">IF(I311=0,1,0)</f>
        <v>1</v>
      </c>
      <c r="K311" s="5" t="n">
        <f aca="false">IF(I311&lt;=1,1,0)</f>
        <v>1</v>
      </c>
      <c r="L311" s="5" t="s">
        <v>71</v>
      </c>
      <c r="M311" s="5" t="s">
        <v>274</v>
      </c>
    </row>
    <row r="312" customFormat="false" ht="15" hidden="false" customHeight="false" outlineLevel="0" collapsed="false">
      <c r="A312" s="5" t="s">
        <v>50</v>
      </c>
      <c r="B312" s="5" t="s">
        <v>49</v>
      </c>
      <c r="C312" s="5" t="s">
        <v>116</v>
      </c>
      <c r="D312" s="5" t="s">
        <v>69</v>
      </c>
      <c r="E312" s="5" t="s">
        <v>119</v>
      </c>
      <c r="F312" s="5" t="n">
        <v>2</v>
      </c>
      <c r="G312" s="5" t="n">
        <v>2</v>
      </c>
      <c r="H312" s="5" t="n">
        <f aca="false">G312-F312</f>
        <v>0</v>
      </c>
      <c r="I312" s="5" t="n">
        <f aca="false">ABS(H312)</f>
        <v>0</v>
      </c>
      <c r="J312" s="5" t="n">
        <f aca="false">IF(I312=0,1,0)</f>
        <v>1</v>
      </c>
      <c r="K312" s="5" t="n">
        <f aca="false">IF(I312&lt;=1,1,0)</f>
        <v>1</v>
      </c>
      <c r="L312" s="5" t="s">
        <v>71</v>
      </c>
      <c r="M312" s="5" t="s">
        <v>274</v>
      </c>
    </row>
    <row r="313" customFormat="false" ht="15" hidden="false" customHeight="false" outlineLevel="0" collapsed="false">
      <c r="A313" s="5" t="s">
        <v>50</v>
      </c>
      <c r="B313" s="5" t="s">
        <v>49</v>
      </c>
      <c r="C313" s="5" t="s">
        <v>116</v>
      </c>
      <c r="D313" s="5" t="s">
        <v>69</v>
      </c>
      <c r="E313" s="5" t="s">
        <v>120</v>
      </c>
      <c r="F313" s="5" t="n">
        <v>2</v>
      </c>
      <c r="G313" s="5" t="n">
        <v>2</v>
      </c>
      <c r="H313" s="5" t="n">
        <f aca="false">G313-F313</f>
        <v>0</v>
      </c>
      <c r="I313" s="5" t="n">
        <f aca="false">ABS(H313)</f>
        <v>0</v>
      </c>
      <c r="J313" s="5" t="n">
        <f aca="false">IF(I313=0,1,0)</f>
        <v>1</v>
      </c>
      <c r="K313" s="5" t="n">
        <f aca="false">IF(I313&lt;=1,1,0)</f>
        <v>1</v>
      </c>
      <c r="L313" s="5" t="s">
        <v>71</v>
      </c>
      <c r="M313" s="5" t="s">
        <v>274</v>
      </c>
    </row>
    <row r="314" customFormat="false" ht="15" hidden="false" customHeight="false" outlineLevel="0" collapsed="false">
      <c r="A314" s="5" t="s">
        <v>50</v>
      </c>
      <c r="B314" s="5" t="s">
        <v>49</v>
      </c>
      <c r="C314" s="5" t="s">
        <v>116</v>
      </c>
      <c r="D314" s="5" t="s">
        <v>69</v>
      </c>
      <c r="E314" s="5" t="s">
        <v>122</v>
      </c>
      <c r="F314" s="5" t="n">
        <v>1</v>
      </c>
      <c r="G314" s="5" t="n">
        <v>1</v>
      </c>
      <c r="H314" s="5" t="n">
        <f aca="false">G314-F314</f>
        <v>0</v>
      </c>
      <c r="I314" s="5" t="n">
        <f aca="false">ABS(H314)</f>
        <v>0</v>
      </c>
      <c r="J314" s="5" t="n">
        <f aca="false">IF(I314=0,1,0)</f>
        <v>1</v>
      </c>
      <c r="K314" s="5" t="n">
        <f aca="false">IF(I314&lt;=1,1,0)</f>
        <v>1</v>
      </c>
      <c r="L314" s="5" t="s">
        <v>71</v>
      </c>
      <c r="M314" s="5" t="s">
        <v>274</v>
      </c>
    </row>
    <row r="315" customFormat="false" ht="15" hidden="false" customHeight="false" outlineLevel="0" collapsed="false">
      <c r="A315" s="5" t="s">
        <v>50</v>
      </c>
      <c r="B315" s="5" t="s">
        <v>49</v>
      </c>
      <c r="C315" s="5" t="s">
        <v>116</v>
      </c>
      <c r="D315" s="5" t="s">
        <v>114</v>
      </c>
      <c r="E315" s="5" t="s">
        <v>123</v>
      </c>
      <c r="F315" s="5" t="n">
        <v>0</v>
      </c>
      <c r="G315" s="5" t="n">
        <v>0</v>
      </c>
      <c r="H315" s="5" t="n">
        <f aca="false">G315-F315</f>
        <v>0</v>
      </c>
      <c r="I315" s="5" t="n">
        <f aca="false">ABS(H315)</f>
        <v>0</v>
      </c>
      <c r="J315" s="5" t="n">
        <f aca="false">IF(I315=0,1,0)</f>
        <v>1</v>
      </c>
      <c r="K315" s="5" t="n">
        <f aca="false">IF(I315&lt;=1,1,0)</f>
        <v>1</v>
      </c>
      <c r="L315" s="5" t="s">
        <v>71</v>
      </c>
      <c r="M315" s="5" t="s">
        <v>275</v>
      </c>
    </row>
    <row r="316" customFormat="false" ht="15" hidden="false" customHeight="false" outlineLevel="0" collapsed="false">
      <c r="A316" s="5" t="s">
        <v>50</v>
      </c>
      <c r="B316" s="5" t="s">
        <v>49</v>
      </c>
      <c r="C316" s="5" t="s">
        <v>116</v>
      </c>
      <c r="D316" s="5" t="s">
        <v>114</v>
      </c>
      <c r="E316" s="5" t="s">
        <v>125</v>
      </c>
      <c r="F316" s="5" t="n">
        <v>0</v>
      </c>
      <c r="G316" s="5" t="n">
        <v>0</v>
      </c>
      <c r="H316" s="5" t="n">
        <f aca="false">G316-F316</f>
        <v>0</v>
      </c>
      <c r="I316" s="5" t="n">
        <f aca="false">ABS(H316)</f>
        <v>0</v>
      </c>
      <c r="J316" s="5" t="n">
        <f aca="false">IF(I316=0,1,0)</f>
        <v>1</v>
      </c>
      <c r="K316" s="5" t="n">
        <f aca="false">IF(I316&lt;=1,1,0)</f>
        <v>1</v>
      </c>
      <c r="L316" s="5" t="s">
        <v>71</v>
      </c>
      <c r="M316" s="5" t="s">
        <v>275</v>
      </c>
    </row>
    <row r="317" customFormat="false" ht="15" hidden="false" customHeight="false" outlineLevel="0" collapsed="false">
      <c r="A317" s="5" t="s">
        <v>50</v>
      </c>
      <c r="B317" s="5" t="s">
        <v>49</v>
      </c>
      <c r="C317" s="5" t="s">
        <v>116</v>
      </c>
      <c r="D317" s="5" t="s">
        <v>114</v>
      </c>
      <c r="E317" s="5" t="s">
        <v>126</v>
      </c>
      <c r="F317" s="5" t="n">
        <v>0</v>
      </c>
      <c r="G317" s="5" t="n">
        <v>0</v>
      </c>
      <c r="H317" s="5" t="n">
        <f aca="false">G317-F317</f>
        <v>0</v>
      </c>
      <c r="I317" s="5" t="n">
        <f aca="false">ABS(H317)</f>
        <v>0</v>
      </c>
      <c r="J317" s="5" t="n">
        <f aca="false">IF(I317=0,1,0)</f>
        <v>1</v>
      </c>
      <c r="K317" s="5" t="n">
        <f aca="false">IF(I317&lt;=1,1,0)</f>
        <v>1</v>
      </c>
      <c r="L317" s="5" t="s">
        <v>71</v>
      </c>
      <c r="M317" s="5" t="s">
        <v>275</v>
      </c>
    </row>
    <row r="318" customFormat="false" ht="15" hidden="false" customHeight="false" outlineLevel="0" collapsed="false">
      <c r="A318" s="5" t="s">
        <v>50</v>
      </c>
      <c r="B318" s="5" t="s">
        <v>49</v>
      </c>
      <c r="C318" s="5" t="s">
        <v>116</v>
      </c>
      <c r="D318" s="5" t="s">
        <v>114</v>
      </c>
      <c r="E318" s="5" t="s">
        <v>127</v>
      </c>
      <c r="F318" s="5" t="n">
        <v>0</v>
      </c>
      <c r="G318" s="5" t="n">
        <v>0</v>
      </c>
      <c r="H318" s="5" t="n">
        <f aca="false">G318-F318</f>
        <v>0</v>
      </c>
      <c r="I318" s="5" t="n">
        <f aca="false">ABS(H318)</f>
        <v>0</v>
      </c>
      <c r="J318" s="5" t="n">
        <f aca="false">IF(I318=0,1,0)</f>
        <v>1</v>
      </c>
      <c r="K318" s="5" t="n">
        <f aca="false">IF(I318&lt;=1,1,0)</f>
        <v>1</v>
      </c>
      <c r="L318" s="5" t="s">
        <v>71</v>
      </c>
      <c r="M318" s="5" t="s">
        <v>275</v>
      </c>
    </row>
    <row r="319" customFormat="false" ht="15" hidden="false" customHeight="false" outlineLevel="0" collapsed="false">
      <c r="A319" s="5" t="s">
        <v>50</v>
      </c>
      <c r="B319" s="5" t="s">
        <v>49</v>
      </c>
      <c r="C319" s="5" t="s">
        <v>116</v>
      </c>
      <c r="D319" s="5" t="s">
        <v>114</v>
      </c>
      <c r="E319" s="5" t="s">
        <v>128</v>
      </c>
      <c r="F319" s="5" t="n">
        <v>0</v>
      </c>
      <c r="G319" s="5" t="n">
        <v>0</v>
      </c>
      <c r="H319" s="5" t="n">
        <f aca="false">G319-F319</f>
        <v>0</v>
      </c>
      <c r="I319" s="5" t="n">
        <f aca="false">ABS(H319)</f>
        <v>0</v>
      </c>
      <c r="J319" s="5" t="n">
        <f aca="false">IF(I319=0,1,0)</f>
        <v>1</v>
      </c>
      <c r="K319" s="5" t="n">
        <f aca="false">IF(I319&lt;=1,1,0)</f>
        <v>1</v>
      </c>
      <c r="L319" s="5" t="s">
        <v>71</v>
      </c>
      <c r="M319" s="5" t="s">
        <v>275</v>
      </c>
    </row>
    <row r="320" customFormat="false" ht="15" hidden="false" customHeight="false" outlineLevel="0" collapsed="false">
      <c r="A320" s="5" t="s">
        <v>50</v>
      </c>
      <c r="B320" s="5" t="s">
        <v>49</v>
      </c>
      <c r="C320" s="5" t="s">
        <v>116</v>
      </c>
      <c r="D320" s="5" t="s">
        <v>129</v>
      </c>
      <c r="E320" s="5" t="s">
        <v>130</v>
      </c>
      <c r="F320" s="5" t="n">
        <v>0</v>
      </c>
      <c r="G320" s="5" t="n">
        <v>0</v>
      </c>
      <c r="H320" s="5" t="n">
        <f aca="false">G320-F320</f>
        <v>0</v>
      </c>
      <c r="I320" s="5" t="n">
        <f aca="false">ABS(H320)</f>
        <v>0</v>
      </c>
      <c r="J320" s="5" t="n">
        <f aca="false">IF(I320=0,1,0)</f>
        <v>1</v>
      </c>
      <c r="K320" s="5" t="n">
        <f aca="false">IF(I320&lt;=1,1,0)</f>
        <v>1</v>
      </c>
      <c r="L320" s="5" t="s">
        <v>71</v>
      </c>
      <c r="M320" s="5" t="s">
        <v>276</v>
      </c>
    </row>
    <row r="321" customFormat="false" ht="15" hidden="false" customHeight="false" outlineLevel="0" collapsed="false">
      <c r="A321" s="5" t="s">
        <v>50</v>
      </c>
      <c r="B321" s="5" t="s">
        <v>49</v>
      </c>
      <c r="C321" s="5" t="s">
        <v>116</v>
      </c>
      <c r="D321" s="5" t="s">
        <v>129</v>
      </c>
      <c r="E321" s="5" t="s">
        <v>132</v>
      </c>
      <c r="F321" s="5" t="n">
        <v>2</v>
      </c>
      <c r="G321" s="5" t="n">
        <v>2</v>
      </c>
      <c r="H321" s="5" t="n">
        <f aca="false">G321-F321</f>
        <v>0</v>
      </c>
      <c r="I321" s="5" t="n">
        <f aca="false">ABS(H321)</f>
        <v>0</v>
      </c>
      <c r="J321" s="5" t="n">
        <f aca="false">IF(I321=0,1,0)</f>
        <v>1</v>
      </c>
      <c r="K321" s="5" t="n">
        <f aca="false">IF(I321&lt;=1,1,0)</f>
        <v>1</v>
      </c>
      <c r="L321" s="5" t="s">
        <v>71</v>
      </c>
      <c r="M321" s="5" t="s">
        <v>276</v>
      </c>
    </row>
    <row r="322" customFormat="false" ht="15" hidden="false" customHeight="false" outlineLevel="0" collapsed="false">
      <c r="A322" s="5" t="s">
        <v>50</v>
      </c>
      <c r="B322" s="5" t="s">
        <v>49</v>
      </c>
      <c r="C322" s="5" t="s">
        <v>116</v>
      </c>
      <c r="D322" s="5" t="s">
        <v>129</v>
      </c>
      <c r="E322" s="5" t="s">
        <v>133</v>
      </c>
      <c r="F322" s="5" t="n">
        <v>1</v>
      </c>
      <c r="G322" s="5" t="n">
        <v>1</v>
      </c>
      <c r="H322" s="5" t="n">
        <f aca="false">G322-F322</f>
        <v>0</v>
      </c>
      <c r="I322" s="5" t="n">
        <f aca="false">ABS(H322)</f>
        <v>0</v>
      </c>
      <c r="J322" s="5" t="n">
        <f aca="false">IF(I322=0,1,0)</f>
        <v>1</v>
      </c>
      <c r="K322" s="5" t="n">
        <f aca="false">IF(I322&lt;=1,1,0)</f>
        <v>1</v>
      </c>
      <c r="L322" s="5" t="s">
        <v>71</v>
      </c>
      <c r="M322" s="5" t="s">
        <v>276</v>
      </c>
    </row>
    <row r="323" customFormat="false" ht="15" hidden="false" customHeight="false" outlineLevel="0" collapsed="false">
      <c r="A323" s="5" t="s">
        <v>50</v>
      </c>
      <c r="B323" s="5" t="s">
        <v>49</v>
      </c>
      <c r="C323" s="5" t="s">
        <v>116</v>
      </c>
      <c r="D323" s="5" t="s">
        <v>129</v>
      </c>
      <c r="E323" s="5" t="s">
        <v>134</v>
      </c>
      <c r="F323" s="5" t="n">
        <v>3</v>
      </c>
      <c r="G323" s="5" t="n">
        <v>3</v>
      </c>
      <c r="H323" s="5" t="n">
        <f aca="false">G323-F323</f>
        <v>0</v>
      </c>
      <c r="I323" s="5" t="n">
        <f aca="false">ABS(H323)</f>
        <v>0</v>
      </c>
      <c r="J323" s="5" t="n">
        <f aca="false">IF(I323=0,1,0)</f>
        <v>1</v>
      </c>
      <c r="K323" s="5" t="n">
        <f aca="false">IF(I323&lt;=1,1,0)</f>
        <v>1</v>
      </c>
      <c r="L323" s="5" t="s">
        <v>71</v>
      </c>
      <c r="M323" s="5" t="s">
        <v>276</v>
      </c>
    </row>
    <row r="324" customFormat="false" ht="15" hidden="false" customHeight="false" outlineLevel="0" collapsed="false">
      <c r="A324" s="5" t="s">
        <v>50</v>
      </c>
      <c r="B324" s="5" t="s">
        <v>49</v>
      </c>
      <c r="C324" s="5" t="s">
        <v>116</v>
      </c>
      <c r="D324" s="5" t="s">
        <v>129</v>
      </c>
      <c r="E324" s="5" t="s">
        <v>135</v>
      </c>
      <c r="F324" s="5" t="n">
        <v>0</v>
      </c>
      <c r="G324" s="5" t="n">
        <v>0</v>
      </c>
      <c r="H324" s="5" t="n">
        <f aca="false">G324-F324</f>
        <v>0</v>
      </c>
      <c r="I324" s="5" t="n">
        <f aca="false">ABS(H324)</f>
        <v>0</v>
      </c>
      <c r="J324" s="5" t="n">
        <f aca="false">IF(I324=0,1,0)</f>
        <v>1</v>
      </c>
      <c r="K324" s="5" t="n">
        <f aca="false">IF(I324&lt;=1,1,0)</f>
        <v>1</v>
      </c>
      <c r="L324" s="5" t="s">
        <v>71</v>
      </c>
      <c r="M324" s="5" t="s">
        <v>276</v>
      </c>
    </row>
    <row r="325" customFormat="false" ht="15" hidden="false" customHeight="false" outlineLevel="0" collapsed="false">
      <c r="A325" s="5" t="s">
        <v>50</v>
      </c>
      <c r="B325" s="5" t="s">
        <v>49</v>
      </c>
      <c r="C325" s="5" t="s">
        <v>116</v>
      </c>
      <c r="D325" s="5" t="s">
        <v>129</v>
      </c>
      <c r="E325" s="5" t="s">
        <v>127</v>
      </c>
      <c r="F325" s="5" t="n">
        <v>0</v>
      </c>
      <c r="G325" s="5" t="n">
        <v>0</v>
      </c>
      <c r="H325" s="5" t="n">
        <f aca="false">G325-F325</f>
        <v>0</v>
      </c>
      <c r="I325" s="5" t="n">
        <f aca="false">ABS(H325)</f>
        <v>0</v>
      </c>
      <c r="J325" s="5" t="n">
        <f aca="false">IF(I325=0,1,0)</f>
        <v>1</v>
      </c>
      <c r="K325" s="5" t="n">
        <f aca="false">IF(I325&lt;=1,1,0)</f>
        <v>1</v>
      </c>
      <c r="L325" s="5" t="s">
        <v>71</v>
      </c>
      <c r="M325" s="5" t="s">
        <v>276</v>
      </c>
    </row>
    <row r="326" customFormat="false" ht="15" hidden="false" customHeight="false" outlineLevel="0" collapsed="false">
      <c r="A326" s="5" t="s">
        <v>50</v>
      </c>
      <c r="B326" s="5" t="s">
        <v>49</v>
      </c>
      <c r="C326" s="5" t="s">
        <v>116</v>
      </c>
      <c r="D326" s="5" t="s">
        <v>129</v>
      </c>
      <c r="E326" s="5" t="s">
        <v>136</v>
      </c>
      <c r="F326" s="5" t="n">
        <v>0</v>
      </c>
      <c r="G326" s="5" t="n">
        <v>0</v>
      </c>
      <c r="H326" s="5" t="n">
        <f aca="false">G326-F326</f>
        <v>0</v>
      </c>
      <c r="I326" s="5" t="n">
        <f aca="false">ABS(H326)</f>
        <v>0</v>
      </c>
      <c r="J326" s="5" t="n">
        <f aca="false">IF(I326=0,1,0)</f>
        <v>1</v>
      </c>
      <c r="K326" s="5" t="n">
        <f aca="false">IF(I326&lt;=1,1,0)</f>
        <v>1</v>
      </c>
      <c r="L326" s="5" t="s">
        <v>71</v>
      </c>
      <c r="M326" s="5" t="s">
        <v>276</v>
      </c>
    </row>
    <row r="327" customFormat="false" ht="15" hidden="false" customHeight="false" outlineLevel="0" collapsed="false">
      <c r="A327" s="5" t="s">
        <v>50</v>
      </c>
      <c r="B327" s="5" t="s">
        <v>49</v>
      </c>
      <c r="C327" s="5" t="s">
        <v>116</v>
      </c>
      <c r="D327" s="5" t="s">
        <v>129</v>
      </c>
      <c r="E327" s="5" t="s">
        <v>137</v>
      </c>
      <c r="F327" s="5" t="n">
        <v>2</v>
      </c>
      <c r="G327" s="5" t="n">
        <v>2</v>
      </c>
      <c r="H327" s="5" t="n">
        <f aca="false">G327-F327</f>
        <v>0</v>
      </c>
      <c r="I327" s="5" t="n">
        <f aca="false">ABS(H327)</f>
        <v>0</v>
      </c>
      <c r="J327" s="5" t="n">
        <f aca="false">IF(I327=0,1,0)</f>
        <v>1</v>
      </c>
      <c r="K327" s="5" t="n">
        <f aca="false">IF(I327&lt;=1,1,0)</f>
        <v>1</v>
      </c>
      <c r="L327" s="5" t="s">
        <v>71</v>
      </c>
      <c r="M327" s="5" t="s">
        <v>276</v>
      </c>
    </row>
    <row r="328" customFormat="false" ht="15" hidden="false" customHeight="false" outlineLevel="0" collapsed="false">
      <c r="A328" s="5" t="s">
        <v>50</v>
      </c>
      <c r="B328" s="5" t="s">
        <v>49</v>
      </c>
      <c r="C328" s="5" t="s">
        <v>116</v>
      </c>
      <c r="D328" s="5" t="s">
        <v>138</v>
      </c>
      <c r="E328" s="5" t="s">
        <v>139</v>
      </c>
      <c r="F328" s="5" t="n">
        <v>0</v>
      </c>
      <c r="G328" s="5" t="n">
        <v>0</v>
      </c>
      <c r="H328" s="5" t="n">
        <f aca="false">G328-F328</f>
        <v>0</v>
      </c>
      <c r="I328" s="5" t="n">
        <f aca="false">ABS(H328)</f>
        <v>0</v>
      </c>
      <c r="J328" s="5" t="n">
        <f aca="false">IF(I328=0,1,0)</f>
        <v>1</v>
      </c>
      <c r="K328" s="5" t="n">
        <f aca="false">IF(I328&lt;=1,1,0)</f>
        <v>1</v>
      </c>
      <c r="L328" s="5" t="s">
        <v>71</v>
      </c>
      <c r="M328" s="5" t="s">
        <v>277</v>
      </c>
    </row>
    <row r="329" customFormat="false" ht="15" hidden="false" customHeight="false" outlineLevel="0" collapsed="false">
      <c r="A329" s="5" t="s">
        <v>50</v>
      </c>
      <c r="B329" s="5" t="s">
        <v>49</v>
      </c>
      <c r="C329" s="5" t="s">
        <v>116</v>
      </c>
      <c r="D329" s="5" t="s">
        <v>138</v>
      </c>
      <c r="E329" s="5" t="s">
        <v>141</v>
      </c>
      <c r="F329" s="5" t="n">
        <v>2</v>
      </c>
      <c r="G329" s="5" t="n">
        <v>2</v>
      </c>
      <c r="H329" s="5" t="n">
        <f aca="false">G329-F329</f>
        <v>0</v>
      </c>
      <c r="I329" s="5" t="n">
        <f aca="false">ABS(H329)</f>
        <v>0</v>
      </c>
      <c r="J329" s="5" t="n">
        <f aca="false">IF(I329=0,1,0)</f>
        <v>1</v>
      </c>
      <c r="K329" s="5" t="n">
        <f aca="false">IF(I329&lt;=1,1,0)</f>
        <v>1</v>
      </c>
      <c r="L329" s="5" t="s">
        <v>71</v>
      </c>
      <c r="M329" s="5" t="s">
        <v>277</v>
      </c>
    </row>
    <row r="330" customFormat="false" ht="15" hidden="false" customHeight="false" outlineLevel="0" collapsed="false">
      <c r="A330" s="5" t="s">
        <v>50</v>
      </c>
      <c r="B330" s="5" t="s">
        <v>49</v>
      </c>
      <c r="C330" s="5" t="s">
        <v>116</v>
      </c>
      <c r="D330" s="5" t="s">
        <v>138</v>
      </c>
      <c r="E330" s="5" t="s">
        <v>142</v>
      </c>
      <c r="F330" s="5" t="n">
        <v>0</v>
      </c>
      <c r="G330" s="5" t="n">
        <v>0</v>
      </c>
      <c r="H330" s="5" t="n">
        <f aca="false">G330-F330</f>
        <v>0</v>
      </c>
      <c r="I330" s="5" t="n">
        <f aca="false">ABS(H330)</f>
        <v>0</v>
      </c>
      <c r="J330" s="5" t="n">
        <f aca="false">IF(I330=0,1,0)</f>
        <v>1</v>
      </c>
      <c r="K330" s="5" t="n">
        <f aca="false">IF(I330&lt;=1,1,0)</f>
        <v>1</v>
      </c>
      <c r="L330" s="5" t="s">
        <v>71</v>
      </c>
      <c r="M330" s="5" t="s">
        <v>277</v>
      </c>
    </row>
    <row r="331" customFormat="false" ht="15" hidden="false" customHeight="false" outlineLevel="0" collapsed="false">
      <c r="A331" s="5" t="s">
        <v>50</v>
      </c>
      <c r="B331" s="5" t="s">
        <v>49</v>
      </c>
      <c r="C331" s="5" t="s">
        <v>116</v>
      </c>
      <c r="D331" s="5" t="s">
        <v>138</v>
      </c>
      <c r="E331" s="5" t="s">
        <v>143</v>
      </c>
      <c r="F331" s="5" t="n">
        <v>0</v>
      </c>
      <c r="G331" s="5" t="n">
        <v>0</v>
      </c>
      <c r="H331" s="5" t="n">
        <f aca="false">G331-F331</f>
        <v>0</v>
      </c>
      <c r="I331" s="5" t="n">
        <f aca="false">ABS(H331)</f>
        <v>0</v>
      </c>
      <c r="J331" s="5" t="n">
        <f aca="false">IF(I331=0,1,0)</f>
        <v>1</v>
      </c>
      <c r="K331" s="5" t="n">
        <f aca="false">IF(I331&lt;=1,1,0)</f>
        <v>1</v>
      </c>
      <c r="L331" s="5" t="s">
        <v>71</v>
      </c>
      <c r="M331" s="5" t="s">
        <v>277</v>
      </c>
    </row>
    <row r="332" customFormat="false" ht="15" hidden="false" customHeight="false" outlineLevel="0" collapsed="false">
      <c r="A332" s="5" t="s">
        <v>50</v>
      </c>
      <c r="B332" s="5" t="s">
        <v>49</v>
      </c>
      <c r="C332" s="5" t="s">
        <v>116</v>
      </c>
      <c r="D332" s="5" t="s">
        <v>138</v>
      </c>
      <c r="E332" s="5" t="s">
        <v>144</v>
      </c>
      <c r="F332" s="5" t="n">
        <v>0</v>
      </c>
      <c r="G332" s="5" t="n">
        <v>0</v>
      </c>
      <c r="H332" s="5" t="n">
        <f aca="false">G332-F332</f>
        <v>0</v>
      </c>
      <c r="I332" s="5" t="n">
        <f aca="false">ABS(H332)</f>
        <v>0</v>
      </c>
      <c r="J332" s="5" t="n">
        <f aca="false">IF(I332=0,1,0)</f>
        <v>1</v>
      </c>
      <c r="K332" s="5" t="n">
        <f aca="false">IF(I332&lt;=1,1,0)</f>
        <v>1</v>
      </c>
      <c r="L332" s="5" t="s">
        <v>71</v>
      </c>
      <c r="M332" s="5" t="s">
        <v>277</v>
      </c>
    </row>
    <row r="333" customFormat="false" ht="15" hidden="false" customHeight="false" outlineLevel="0" collapsed="false">
      <c r="A333" s="5" t="s">
        <v>50</v>
      </c>
      <c r="B333" s="5" t="s">
        <v>49</v>
      </c>
      <c r="C333" s="5" t="s">
        <v>116</v>
      </c>
      <c r="D333" s="5" t="s">
        <v>138</v>
      </c>
      <c r="E333" s="5" t="s">
        <v>127</v>
      </c>
      <c r="F333" s="5" t="n">
        <v>0</v>
      </c>
      <c r="G333" s="5" t="n">
        <v>0</v>
      </c>
      <c r="H333" s="5" t="n">
        <f aca="false">G333-F333</f>
        <v>0</v>
      </c>
      <c r="I333" s="5" t="n">
        <f aca="false">ABS(H333)</f>
        <v>0</v>
      </c>
      <c r="J333" s="5" t="n">
        <f aca="false">IF(I333=0,1,0)</f>
        <v>1</v>
      </c>
      <c r="K333" s="5" t="n">
        <f aca="false">IF(I333&lt;=1,1,0)</f>
        <v>1</v>
      </c>
      <c r="L333" s="5" t="s">
        <v>71</v>
      </c>
      <c r="M333" s="5" t="s">
        <v>277</v>
      </c>
    </row>
    <row r="334" customFormat="false" ht="15" hidden="false" customHeight="false" outlineLevel="0" collapsed="false">
      <c r="A334" s="5" t="s">
        <v>50</v>
      </c>
      <c r="B334" s="5" t="s">
        <v>49</v>
      </c>
      <c r="C334" s="5" t="s">
        <v>145</v>
      </c>
      <c r="D334" s="5" t="s">
        <v>69</v>
      </c>
      <c r="E334" s="5" t="s">
        <v>146</v>
      </c>
      <c r="F334" s="5" t="n">
        <v>3</v>
      </c>
      <c r="G334" s="5" t="n">
        <v>3</v>
      </c>
      <c r="H334" s="5" t="n">
        <f aca="false">G334-F334</f>
        <v>0</v>
      </c>
      <c r="I334" s="5" t="n">
        <f aca="false">ABS(H334)</f>
        <v>0</v>
      </c>
      <c r="J334" s="5" t="n">
        <f aca="false">IF(I334=0,1,0)</f>
        <v>1</v>
      </c>
      <c r="K334" s="5" t="n">
        <f aca="false">IF(I334&lt;=1,1,0)</f>
        <v>1</v>
      </c>
      <c r="L334" s="5" t="s">
        <v>71</v>
      </c>
      <c r="M334" s="5" t="s">
        <v>278</v>
      </c>
    </row>
    <row r="335" customFormat="false" ht="15" hidden="false" customHeight="false" outlineLevel="0" collapsed="false">
      <c r="A335" s="5" t="s">
        <v>50</v>
      </c>
      <c r="B335" s="5" t="s">
        <v>49</v>
      </c>
      <c r="C335" s="5" t="s">
        <v>145</v>
      </c>
      <c r="D335" s="5" t="s">
        <v>69</v>
      </c>
      <c r="E335" s="5" t="s">
        <v>117</v>
      </c>
      <c r="F335" s="5" t="n">
        <v>3</v>
      </c>
      <c r="G335" s="5" t="n">
        <v>3</v>
      </c>
      <c r="H335" s="5" t="n">
        <f aca="false">G335-F335</f>
        <v>0</v>
      </c>
      <c r="I335" s="5" t="n">
        <f aca="false">ABS(H335)</f>
        <v>0</v>
      </c>
      <c r="J335" s="5" t="n">
        <f aca="false">IF(I335=0,1,0)</f>
        <v>1</v>
      </c>
      <c r="K335" s="5" t="n">
        <f aca="false">IF(I335&lt;=1,1,0)</f>
        <v>1</v>
      </c>
      <c r="L335" s="5" t="s">
        <v>71</v>
      </c>
      <c r="M335" s="5" t="s">
        <v>278</v>
      </c>
    </row>
    <row r="336" customFormat="false" ht="15" hidden="false" customHeight="false" outlineLevel="0" collapsed="false">
      <c r="A336" s="5" t="s">
        <v>50</v>
      </c>
      <c r="B336" s="5" t="s">
        <v>49</v>
      </c>
      <c r="C336" s="5" t="s">
        <v>145</v>
      </c>
      <c r="D336" s="5" t="s">
        <v>69</v>
      </c>
      <c r="E336" s="5" t="s">
        <v>148</v>
      </c>
      <c r="F336" s="5" t="n">
        <v>3</v>
      </c>
      <c r="G336" s="5" t="n">
        <v>3</v>
      </c>
      <c r="H336" s="5" t="n">
        <f aca="false">G336-F336</f>
        <v>0</v>
      </c>
      <c r="I336" s="5" t="n">
        <f aca="false">ABS(H336)</f>
        <v>0</v>
      </c>
      <c r="J336" s="5" t="n">
        <f aca="false">IF(I336=0,1,0)</f>
        <v>1</v>
      </c>
      <c r="K336" s="5" t="n">
        <f aca="false">IF(I336&lt;=1,1,0)</f>
        <v>1</v>
      </c>
      <c r="L336" s="5" t="s">
        <v>71</v>
      </c>
      <c r="M336" s="5" t="s">
        <v>278</v>
      </c>
    </row>
    <row r="337" customFormat="false" ht="15" hidden="false" customHeight="false" outlineLevel="0" collapsed="false">
      <c r="A337" s="5" t="s">
        <v>50</v>
      </c>
      <c r="B337" s="5" t="s">
        <v>49</v>
      </c>
      <c r="C337" s="5" t="s">
        <v>145</v>
      </c>
      <c r="D337" s="5" t="s">
        <v>69</v>
      </c>
      <c r="E337" s="5" t="s">
        <v>149</v>
      </c>
      <c r="F337" s="5" t="n">
        <v>2</v>
      </c>
      <c r="G337" s="5" t="n">
        <v>2</v>
      </c>
      <c r="H337" s="5" t="n">
        <f aca="false">G337-F337</f>
        <v>0</v>
      </c>
      <c r="I337" s="5" t="n">
        <f aca="false">ABS(H337)</f>
        <v>0</v>
      </c>
      <c r="J337" s="5" t="n">
        <f aca="false">IF(I337=0,1,0)</f>
        <v>1</v>
      </c>
      <c r="K337" s="5" t="n">
        <f aca="false">IF(I337&lt;=1,1,0)</f>
        <v>1</v>
      </c>
      <c r="L337" s="5" t="s">
        <v>71</v>
      </c>
      <c r="M337" s="5" t="s">
        <v>278</v>
      </c>
    </row>
    <row r="338" customFormat="false" ht="15" hidden="false" customHeight="false" outlineLevel="0" collapsed="false">
      <c r="A338" s="5" t="s">
        <v>50</v>
      </c>
      <c r="B338" s="5" t="s">
        <v>49</v>
      </c>
      <c r="C338" s="5" t="s">
        <v>145</v>
      </c>
      <c r="D338" s="5" t="s">
        <v>114</v>
      </c>
      <c r="E338" s="5" t="s">
        <v>150</v>
      </c>
      <c r="F338" s="5" t="n">
        <v>0</v>
      </c>
      <c r="G338" s="5" t="n">
        <v>0</v>
      </c>
      <c r="H338" s="5" t="n">
        <f aca="false">G338-F338</f>
        <v>0</v>
      </c>
      <c r="I338" s="5" t="n">
        <f aca="false">ABS(H338)</f>
        <v>0</v>
      </c>
      <c r="J338" s="5" t="n">
        <f aca="false">IF(I338=0,1,0)</f>
        <v>1</v>
      </c>
      <c r="K338" s="5" t="n">
        <f aca="false">IF(I338&lt;=1,1,0)</f>
        <v>1</v>
      </c>
      <c r="L338" s="5" t="s">
        <v>71</v>
      </c>
      <c r="M338" s="5" t="s">
        <v>279</v>
      </c>
    </row>
    <row r="339" customFormat="false" ht="15" hidden="false" customHeight="false" outlineLevel="0" collapsed="false">
      <c r="A339" s="5" t="s">
        <v>50</v>
      </c>
      <c r="B339" s="5" t="s">
        <v>49</v>
      </c>
      <c r="C339" s="5" t="s">
        <v>145</v>
      </c>
      <c r="D339" s="5" t="s">
        <v>114</v>
      </c>
      <c r="E339" s="5" t="s">
        <v>152</v>
      </c>
      <c r="F339" s="5" t="n">
        <v>2</v>
      </c>
      <c r="G339" s="5" t="n">
        <v>2</v>
      </c>
      <c r="H339" s="5" t="n">
        <f aca="false">G339-F339</f>
        <v>0</v>
      </c>
      <c r="I339" s="5" t="n">
        <f aca="false">ABS(H339)</f>
        <v>0</v>
      </c>
      <c r="J339" s="5" t="n">
        <f aca="false">IF(I339=0,1,0)</f>
        <v>1</v>
      </c>
      <c r="K339" s="5" t="n">
        <f aca="false">IF(I339&lt;=1,1,0)</f>
        <v>1</v>
      </c>
      <c r="L339" s="5" t="s">
        <v>71</v>
      </c>
      <c r="M339" s="5" t="s">
        <v>279</v>
      </c>
    </row>
    <row r="340" customFormat="false" ht="15" hidden="false" customHeight="false" outlineLevel="0" collapsed="false">
      <c r="A340" s="5" t="s">
        <v>50</v>
      </c>
      <c r="B340" s="5" t="s">
        <v>49</v>
      </c>
      <c r="C340" s="5" t="s">
        <v>145</v>
      </c>
      <c r="D340" s="5" t="s">
        <v>114</v>
      </c>
      <c r="E340" s="5" t="s">
        <v>153</v>
      </c>
      <c r="F340" s="5" t="n">
        <v>0</v>
      </c>
      <c r="G340" s="5" t="n">
        <v>0</v>
      </c>
      <c r="H340" s="5" t="n">
        <f aca="false">G340-F340</f>
        <v>0</v>
      </c>
      <c r="I340" s="5" t="n">
        <f aca="false">ABS(H340)</f>
        <v>0</v>
      </c>
      <c r="J340" s="5" t="n">
        <f aca="false">IF(I340=0,1,0)</f>
        <v>1</v>
      </c>
      <c r="K340" s="5" t="n">
        <f aca="false">IF(I340&lt;=1,1,0)</f>
        <v>1</v>
      </c>
      <c r="L340" s="5" t="s">
        <v>71</v>
      </c>
      <c r="M340" s="5" t="s">
        <v>279</v>
      </c>
    </row>
    <row r="341" customFormat="false" ht="15" hidden="false" customHeight="false" outlineLevel="0" collapsed="false">
      <c r="A341" s="5" t="s">
        <v>50</v>
      </c>
      <c r="B341" s="5" t="s">
        <v>49</v>
      </c>
      <c r="C341" s="5" t="s">
        <v>145</v>
      </c>
      <c r="D341" s="5" t="s">
        <v>114</v>
      </c>
      <c r="E341" s="5" t="s">
        <v>154</v>
      </c>
      <c r="F341" s="5" t="n">
        <v>1</v>
      </c>
      <c r="G341" s="5" t="n">
        <v>1</v>
      </c>
      <c r="H341" s="5" t="n">
        <f aca="false">G341-F341</f>
        <v>0</v>
      </c>
      <c r="I341" s="5" t="n">
        <f aca="false">ABS(H341)</f>
        <v>0</v>
      </c>
      <c r="J341" s="5" t="n">
        <f aca="false">IF(I341=0,1,0)</f>
        <v>1</v>
      </c>
      <c r="K341" s="5" t="n">
        <f aca="false">IF(I341&lt;=1,1,0)</f>
        <v>1</v>
      </c>
      <c r="L341" s="5" t="s">
        <v>71</v>
      </c>
      <c r="M341" s="5" t="s">
        <v>279</v>
      </c>
    </row>
    <row r="342" customFormat="false" ht="15" hidden="false" customHeight="false" outlineLevel="0" collapsed="false">
      <c r="A342" s="5" t="s">
        <v>50</v>
      </c>
      <c r="B342" s="5" t="s">
        <v>49</v>
      </c>
      <c r="C342" s="5" t="s">
        <v>145</v>
      </c>
      <c r="D342" s="5" t="s">
        <v>114</v>
      </c>
      <c r="E342" s="5" t="s">
        <v>155</v>
      </c>
      <c r="F342" s="5" t="n">
        <v>3</v>
      </c>
      <c r="G342" s="5" t="n">
        <v>3</v>
      </c>
      <c r="H342" s="5" t="n">
        <f aca="false">G342-F342</f>
        <v>0</v>
      </c>
      <c r="I342" s="5" t="n">
        <f aca="false">ABS(H342)</f>
        <v>0</v>
      </c>
      <c r="J342" s="5" t="n">
        <f aca="false">IF(I342=0,1,0)</f>
        <v>1</v>
      </c>
      <c r="K342" s="5" t="n">
        <f aca="false">IF(I342&lt;=1,1,0)</f>
        <v>1</v>
      </c>
      <c r="L342" s="5" t="s">
        <v>71</v>
      </c>
      <c r="M342" s="5" t="s">
        <v>279</v>
      </c>
    </row>
    <row r="343" customFormat="false" ht="15" hidden="false" customHeight="false" outlineLevel="0" collapsed="false">
      <c r="A343" s="16" t="s">
        <v>50</v>
      </c>
      <c r="B343" s="16" t="s">
        <v>49</v>
      </c>
      <c r="C343" s="16" t="s">
        <v>145</v>
      </c>
      <c r="D343" s="16" t="s">
        <v>156</v>
      </c>
      <c r="E343" s="16" t="s">
        <v>157</v>
      </c>
      <c r="F343" s="16" t="n">
        <v>2</v>
      </c>
      <c r="G343" s="16" t="n">
        <v>3</v>
      </c>
      <c r="H343" s="16" t="n">
        <f aca="false">G343-F343</f>
        <v>1</v>
      </c>
      <c r="I343" s="16" t="n">
        <f aca="false">ABS(H343)</f>
        <v>1</v>
      </c>
      <c r="J343" s="16" t="n">
        <f aca="false">IF(I343=0,1,0)</f>
        <v>0</v>
      </c>
      <c r="K343" s="16" t="n">
        <f aca="false">IF(I343&lt;=1,1,0)</f>
        <v>1</v>
      </c>
      <c r="L343" s="16" t="s">
        <v>76</v>
      </c>
      <c r="M343" s="16" t="s">
        <v>280</v>
      </c>
    </row>
    <row r="344" customFormat="false" ht="15" hidden="false" customHeight="false" outlineLevel="0" collapsed="false">
      <c r="A344" s="5" t="s">
        <v>50</v>
      </c>
      <c r="B344" s="5" t="s">
        <v>49</v>
      </c>
      <c r="C344" s="5" t="s">
        <v>145</v>
      </c>
      <c r="D344" s="5" t="s">
        <v>156</v>
      </c>
      <c r="E344" s="5" t="s">
        <v>159</v>
      </c>
      <c r="F344" s="5" t="n">
        <v>0</v>
      </c>
      <c r="G344" s="5" t="n">
        <v>0</v>
      </c>
      <c r="H344" s="5" t="n">
        <f aca="false">G344-F344</f>
        <v>0</v>
      </c>
      <c r="I344" s="5" t="n">
        <f aca="false">ABS(H344)</f>
        <v>0</v>
      </c>
      <c r="J344" s="5" t="n">
        <f aca="false">IF(I344=0,1,0)</f>
        <v>1</v>
      </c>
      <c r="K344" s="5" t="n">
        <f aca="false">IF(I344&lt;=1,1,0)</f>
        <v>1</v>
      </c>
      <c r="L344" s="5" t="s">
        <v>71</v>
      </c>
      <c r="M344" s="5" t="s">
        <v>280</v>
      </c>
    </row>
    <row r="345" customFormat="false" ht="15" hidden="false" customHeight="false" outlineLevel="0" collapsed="false">
      <c r="A345" s="5" t="s">
        <v>50</v>
      </c>
      <c r="B345" s="5" t="s">
        <v>49</v>
      </c>
      <c r="C345" s="5" t="s">
        <v>145</v>
      </c>
      <c r="D345" s="5" t="s">
        <v>156</v>
      </c>
      <c r="E345" s="5" t="s">
        <v>160</v>
      </c>
      <c r="F345" s="5" t="n">
        <v>0</v>
      </c>
      <c r="G345" s="5" t="n">
        <v>0</v>
      </c>
      <c r="H345" s="5" t="n">
        <f aca="false">G345-F345</f>
        <v>0</v>
      </c>
      <c r="I345" s="5" t="n">
        <f aca="false">ABS(H345)</f>
        <v>0</v>
      </c>
      <c r="J345" s="5" t="n">
        <f aca="false">IF(I345=0,1,0)</f>
        <v>1</v>
      </c>
      <c r="K345" s="5" t="n">
        <f aca="false">IF(I345&lt;=1,1,0)</f>
        <v>1</v>
      </c>
      <c r="L345" s="5" t="s">
        <v>71</v>
      </c>
      <c r="M345" s="5" t="s">
        <v>280</v>
      </c>
    </row>
    <row r="346" customFormat="false" ht="15" hidden="false" customHeight="false" outlineLevel="0" collapsed="false">
      <c r="A346" s="16" t="s">
        <v>50</v>
      </c>
      <c r="B346" s="16" t="s">
        <v>49</v>
      </c>
      <c r="C346" s="16" t="s">
        <v>145</v>
      </c>
      <c r="D346" s="16" t="s">
        <v>156</v>
      </c>
      <c r="E346" s="16" t="s">
        <v>161</v>
      </c>
      <c r="F346" s="16" t="n">
        <v>0</v>
      </c>
      <c r="G346" s="16" t="n">
        <v>2</v>
      </c>
      <c r="H346" s="16" t="n">
        <f aca="false">G346-F346</f>
        <v>2</v>
      </c>
      <c r="I346" s="16" t="n">
        <f aca="false">ABS(H346)</f>
        <v>2</v>
      </c>
      <c r="J346" s="16" t="n">
        <f aca="false">IF(I346=0,1,0)</f>
        <v>0</v>
      </c>
      <c r="K346" s="16" t="n">
        <f aca="false">IF(I346&lt;=1,1,0)</f>
        <v>0</v>
      </c>
      <c r="L346" s="16" t="s">
        <v>76</v>
      </c>
      <c r="M346" s="16" t="s">
        <v>280</v>
      </c>
    </row>
    <row r="347" customFormat="false" ht="15" hidden="false" customHeight="false" outlineLevel="0" collapsed="false">
      <c r="A347" s="16" t="s">
        <v>50</v>
      </c>
      <c r="B347" s="16" t="s">
        <v>49</v>
      </c>
      <c r="C347" s="16" t="s">
        <v>145</v>
      </c>
      <c r="D347" s="16" t="s">
        <v>156</v>
      </c>
      <c r="E347" s="16" t="s">
        <v>162</v>
      </c>
      <c r="F347" s="16" t="n">
        <v>1</v>
      </c>
      <c r="G347" s="16" t="n">
        <v>2</v>
      </c>
      <c r="H347" s="16" t="n">
        <f aca="false">G347-F347</f>
        <v>1</v>
      </c>
      <c r="I347" s="16" t="n">
        <f aca="false">ABS(H347)</f>
        <v>1</v>
      </c>
      <c r="J347" s="16" t="n">
        <f aca="false">IF(I347=0,1,0)</f>
        <v>0</v>
      </c>
      <c r="K347" s="16" t="n">
        <f aca="false">IF(I347&lt;=1,1,0)</f>
        <v>1</v>
      </c>
      <c r="L347" s="16" t="s">
        <v>76</v>
      </c>
      <c r="M347" s="16" t="s">
        <v>280</v>
      </c>
    </row>
    <row r="348" customFormat="false" ht="15" hidden="false" customHeight="false" outlineLevel="0" collapsed="false">
      <c r="A348" s="5" t="s">
        <v>50</v>
      </c>
      <c r="B348" s="5" t="s">
        <v>49</v>
      </c>
      <c r="C348" s="5" t="s">
        <v>145</v>
      </c>
      <c r="D348" s="5" t="s">
        <v>163</v>
      </c>
      <c r="E348" s="5" t="s">
        <v>164</v>
      </c>
      <c r="F348" s="5" t="n">
        <v>3</v>
      </c>
      <c r="G348" s="5" t="n">
        <v>3</v>
      </c>
      <c r="H348" s="5" t="n">
        <f aca="false">G348-F348</f>
        <v>0</v>
      </c>
      <c r="I348" s="5" t="n">
        <f aca="false">ABS(H348)</f>
        <v>0</v>
      </c>
      <c r="J348" s="5" t="n">
        <f aca="false">IF(I348=0,1,0)</f>
        <v>1</v>
      </c>
      <c r="K348" s="5" t="n">
        <f aca="false">IF(I348&lt;=1,1,0)</f>
        <v>1</v>
      </c>
      <c r="L348" s="5" t="s">
        <v>71</v>
      </c>
      <c r="M348" s="5" t="s">
        <v>281</v>
      </c>
    </row>
    <row r="349" customFormat="false" ht="15" hidden="false" customHeight="false" outlineLevel="0" collapsed="false">
      <c r="A349" s="5" t="s">
        <v>50</v>
      </c>
      <c r="B349" s="5" t="s">
        <v>49</v>
      </c>
      <c r="C349" s="5" t="s">
        <v>145</v>
      </c>
      <c r="D349" s="5" t="s">
        <v>163</v>
      </c>
      <c r="E349" s="5" t="s">
        <v>166</v>
      </c>
      <c r="F349" s="5" t="n">
        <v>2</v>
      </c>
      <c r="G349" s="5" t="n">
        <v>2</v>
      </c>
      <c r="H349" s="5" t="n">
        <f aca="false">G349-F349</f>
        <v>0</v>
      </c>
      <c r="I349" s="5" t="n">
        <f aca="false">ABS(H349)</f>
        <v>0</v>
      </c>
      <c r="J349" s="5" t="n">
        <f aca="false">IF(I349=0,1,0)</f>
        <v>1</v>
      </c>
      <c r="K349" s="5" t="n">
        <f aca="false">IF(I349&lt;=1,1,0)</f>
        <v>1</v>
      </c>
      <c r="L349" s="5" t="s">
        <v>71</v>
      </c>
      <c r="M349" s="5" t="s">
        <v>281</v>
      </c>
    </row>
    <row r="350" customFormat="false" ht="15" hidden="false" customHeight="false" outlineLevel="0" collapsed="false">
      <c r="A350" s="5" t="s">
        <v>50</v>
      </c>
      <c r="B350" s="5" t="s">
        <v>49</v>
      </c>
      <c r="C350" s="5" t="s">
        <v>145</v>
      </c>
      <c r="D350" s="5" t="s">
        <v>163</v>
      </c>
      <c r="E350" s="5" t="s">
        <v>167</v>
      </c>
      <c r="F350" s="5" t="n">
        <v>3</v>
      </c>
      <c r="G350" s="5" t="n">
        <v>3</v>
      </c>
      <c r="H350" s="5" t="n">
        <f aca="false">G350-F350</f>
        <v>0</v>
      </c>
      <c r="I350" s="5" t="n">
        <f aca="false">ABS(H350)</f>
        <v>0</v>
      </c>
      <c r="J350" s="5" t="n">
        <f aca="false">IF(I350=0,1,0)</f>
        <v>1</v>
      </c>
      <c r="K350" s="5" t="n">
        <f aca="false">IF(I350&lt;=1,1,0)</f>
        <v>1</v>
      </c>
      <c r="L350" s="5" t="s">
        <v>71</v>
      </c>
      <c r="M350" s="5" t="s">
        <v>281</v>
      </c>
    </row>
    <row r="351" customFormat="false" ht="15" hidden="false" customHeight="false" outlineLevel="0" collapsed="false">
      <c r="A351" s="16" t="s">
        <v>50</v>
      </c>
      <c r="B351" s="16" t="s">
        <v>49</v>
      </c>
      <c r="C351" s="16" t="s">
        <v>145</v>
      </c>
      <c r="D351" s="16" t="s">
        <v>163</v>
      </c>
      <c r="E351" s="16" t="s">
        <v>168</v>
      </c>
      <c r="F351" s="16" t="n">
        <v>0</v>
      </c>
      <c r="G351" s="16" t="n">
        <v>1</v>
      </c>
      <c r="H351" s="16" t="n">
        <f aca="false">G351-F351</f>
        <v>1</v>
      </c>
      <c r="I351" s="16" t="n">
        <f aca="false">ABS(H351)</f>
        <v>1</v>
      </c>
      <c r="J351" s="16" t="n">
        <f aca="false">IF(I351=0,1,0)</f>
        <v>0</v>
      </c>
      <c r="K351" s="16" t="n">
        <f aca="false">IF(I351&lt;=1,1,0)</f>
        <v>1</v>
      </c>
      <c r="L351" s="16" t="s">
        <v>76</v>
      </c>
      <c r="M351" s="16" t="s">
        <v>281</v>
      </c>
    </row>
    <row r="352" customFormat="false" ht="15" hidden="false" customHeight="false" outlineLevel="0" collapsed="false">
      <c r="A352" s="5" t="s">
        <v>50</v>
      </c>
      <c r="B352" s="5" t="s">
        <v>49</v>
      </c>
      <c r="C352" s="5" t="s">
        <v>145</v>
      </c>
      <c r="D352" s="5" t="s">
        <v>163</v>
      </c>
      <c r="E352" s="5" t="s">
        <v>169</v>
      </c>
      <c r="F352" s="5" t="n">
        <v>1</v>
      </c>
      <c r="G352" s="5" t="n">
        <v>1</v>
      </c>
      <c r="H352" s="5" t="n">
        <f aca="false">G352-F352</f>
        <v>0</v>
      </c>
      <c r="I352" s="5" t="n">
        <f aca="false">ABS(H352)</f>
        <v>0</v>
      </c>
      <c r="J352" s="5" t="n">
        <f aca="false">IF(I352=0,1,0)</f>
        <v>1</v>
      </c>
      <c r="K352" s="5" t="n">
        <f aca="false">IF(I352&lt;=1,1,0)</f>
        <v>1</v>
      </c>
      <c r="L352" s="5" t="s">
        <v>71</v>
      </c>
      <c r="M352" s="5" t="s">
        <v>281</v>
      </c>
    </row>
    <row r="353" customFormat="false" ht="15" hidden="false" customHeight="false" outlineLevel="0" collapsed="false">
      <c r="A353" s="5" t="s">
        <v>50</v>
      </c>
      <c r="B353" s="5" t="s">
        <v>49</v>
      </c>
      <c r="C353" s="5" t="s">
        <v>170</v>
      </c>
      <c r="D353" s="5" t="s">
        <v>69</v>
      </c>
      <c r="E353" s="5" t="s">
        <v>171</v>
      </c>
      <c r="F353" s="5" t="n">
        <v>3</v>
      </c>
      <c r="G353" s="5" t="n">
        <v>3</v>
      </c>
      <c r="H353" s="5" t="n">
        <f aca="false">G353-F353</f>
        <v>0</v>
      </c>
      <c r="I353" s="5" t="n">
        <f aca="false">ABS(H353)</f>
        <v>0</v>
      </c>
      <c r="J353" s="5" t="n">
        <f aca="false">IF(I353=0,1,0)</f>
        <v>1</v>
      </c>
      <c r="K353" s="5" t="n">
        <f aca="false">IF(I353&lt;=1,1,0)</f>
        <v>1</v>
      </c>
      <c r="L353" s="5" t="s">
        <v>71</v>
      </c>
      <c r="M353" s="5" t="s">
        <v>282</v>
      </c>
    </row>
    <row r="354" customFormat="false" ht="15" hidden="false" customHeight="false" outlineLevel="0" collapsed="false">
      <c r="A354" s="16" t="s">
        <v>50</v>
      </c>
      <c r="B354" s="16" t="s">
        <v>49</v>
      </c>
      <c r="C354" s="16" t="s">
        <v>170</v>
      </c>
      <c r="D354" s="16" t="s">
        <v>69</v>
      </c>
      <c r="E354" s="16" t="s">
        <v>173</v>
      </c>
      <c r="F354" s="16" t="n">
        <v>3</v>
      </c>
      <c r="G354" s="16" t="n">
        <v>2</v>
      </c>
      <c r="H354" s="16" t="n">
        <f aca="false">G354-F354</f>
        <v>-1</v>
      </c>
      <c r="I354" s="16" t="n">
        <f aca="false">ABS(H354)</f>
        <v>1</v>
      </c>
      <c r="J354" s="16" t="n">
        <f aca="false">IF(I354=0,1,0)</f>
        <v>0</v>
      </c>
      <c r="K354" s="16" t="n">
        <f aca="false">IF(I354&lt;=1,1,0)</f>
        <v>1</v>
      </c>
      <c r="L354" s="16" t="s">
        <v>76</v>
      </c>
      <c r="M354" s="16" t="s">
        <v>282</v>
      </c>
    </row>
    <row r="355" customFormat="false" ht="15" hidden="false" customHeight="false" outlineLevel="0" collapsed="false">
      <c r="A355" s="16" t="s">
        <v>50</v>
      </c>
      <c r="B355" s="16" t="s">
        <v>49</v>
      </c>
      <c r="C355" s="16" t="s">
        <v>170</v>
      </c>
      <c r="D355" s="16" t="s">
        <v>69</v>
      </c>
      <c r="E355" s="16" t="s">
        <v>174</v>
      </c>
      <c r="F355" s="16" t="n">
        <v>2</v>
      </c>
      <c r="G355" s="16" t="n">
        <v>0</v>
      </c>
      <c r="H355" s="16" t="n">
        <f aca="false">G355-F355</f>
        <v>-2</v>
      </c>
      <c r="I355" s="16" t="n">
        <f aca="false">ABS(H355)</f>
        <v>2</v>
      </c>
      <c r="J355" s="16" t="n">
        <f aca="false">IF(I355=0,1,0)</f>
        <v>0</v>
      </c>
      <c r="K355" s="16" t="n">
        <f aca="false">IF(I355&lt;=1,1,0)</f>
        <v>0</v>
      </c>
      <c r="L355" s="16" t="s">
        <v>76</v>
      </c>
      <c r="M355" s="16" t="s">
        <v>282</v>
      </c>
    </row>
    <row r="356" customFormat="false" ht="15" hidden="false" customHeight="false" outlineLevel="0" collapsed="false">
      <c r="A356" s="5" t="s">
        <v>50</v>
      </c>
      <c r="B356" s="5" t="s">
        <v>49</v>
      </c>
      <c r="C356" s="5" t="s">
        <v>170</v>
      </c>
      <c r="D356" s="5" t="s">
        <v>107</v>
      </c>
      <c r="E356" s="5" t="s">
        <v>175</v>
      </c>
      <c r="F356" s="5" t="n">
        <v>0</v>
      </c>
      <c r="G356" s="5" t="n">
        <v>0</v>
      </c>
      <c r="H356" s="5" t="n">
        <f aca="false">G356-F356</f>
        <v>0</v>
      </c>
      <c r="I356" s="5" t="n">
        <f aca="false">ABS(H356)</f>
        <v>0</v>
      </c>
      <c r="J356" s="5" t="n">
        <f aca="false">IF(I356=0,1,0)</f>
        <v>1</v>
      </c>
      <c r="K356" s="5" t="n">
        <f aca="false">IF(I356&lt;=1,1,0)</f>
        <v>1</v>
      </c>
      <c r="L356" s="5" t="s">
        <v>71</v>
      </c>
      <c r="M356" s="5" t="s">
        <v>283</v>
      </c>
    </row>
    <row r="357" customFormat="false" ht="15" hidden="false" customHeight="false" outlineLevel="0" collapsed="false">
      <c r="A357" s="5" t="s">
        <v>50</v>
      </c>
      <c r="B357" s="5" t="s">
        <v>49</v>
      </c>
      <c r="C357" s="5" t="s">
        <v>170</v>
      </c>
      <c r="D357" s="5" t="s">
        <v>107</v>
      </c>
      <c r="E357" s="5" t="s">
        <v>177</v>
      </c>
      <c r="F357" s="5" t="n">
        <v>0</v>
      </c>
      <c r="G357" s="5" t="n">
        <v>0</v>
      </c>
      <c r="H357" s="5" t="n">
        <f aca="false">G357-F357</f>
        <v>0</v>
      </c>
      <c r="I357" s="5" t="n">
        <f aca="false">ABS(H357)</f>
        <v>0</v>
      </c>
      <c r="J357" s="5" t="n">
        <f aca="false">IF(I357=0,1,0)</f>
        <v>1</v>
      </c>
      <c r="K357" s="5" t="n">
        <f aca="false">IF(I357&lt;=1,1,0)</f>
        <v>1</v>
      </c>
      <c r="L357" s="5" t="s">
        <v>71</v>
      </c>
      <c r="M357" s="5" t="s">
        <v>283</v>
      </c>
    </row>
    <row r="358" customFormat="false" ht="15" hidden="false" customHeight="false" outlineLevel="0" collapsed="false">
      <c r="A358" s="16" t="s">
        <v>50</v>
      </c>
      <c r="B358" s="16" t="s">
        <v>49</v>
      </c>
      <c r="C358" s="16" t="s">
        <v>170</v>
      </c>
      <c r="D358" s="16" t="s">
        <v>107</v>
      </c>
      <c r="E358" s="16" t="s">
        <v>178</v>
      </c>
      <c r="F358" s="16" t="n">
        <v>3</v>
      </c>
      <c r="G358" s="16" t="n">
        <v>2</v>
      </c>
      <c r="H358" s="16" t="n">
        <f aca="false">G358-F358</f>
        <v>-1</v>
      </c>
      <c r="I358" s="16" t="n">
        <f aca="false">ABS(H358)</f>
        <v>1</v>
      </c>
      <c r="J358" s="16" t="n">
        <f aca="false">IF(I358=0,1,0)</f>
        <v>0</v>
      </c>
      <c r="K358" s="16" t="n">
        <f aca="false">IF(I358&lt;=1,1,0)</f>
        <v>1</v>
      </c>
      <c r="L358" s="16" t="s">
        <v>76</v>
      </c>
      <c r="M358" s="16" t="s">
        <v>283</v>
      </c>
    </row>
    <row r="359" customFormat="false" ht="15" hidden="false" customHeight="false" outlineLevel="0" collapsed="false">
      <c r="A359" s="5" t="s">
        <v>50</v>
      </c>
      <c r="B359" s="5" t="s">
        <v>49</v>
      </c>
      <c r="C359" s="5" t="s">
        <v>170</v>
      </c>
      <c r="D359" s="5" t="s">
        <v>107</v>
      </c>
      <c r="E359" s="5" t="s">
        <v>179</v>
      </c>
      <c r="F359" s="5" t="n">
        <v>2</v>
      </c>
      <c r="G359" s="5" t="n">
        <v>2</v>
      </c>
      <c r="H359" s="5" t="n">
        <f aca="false">G359-F359</f>
        <v>0</v>
      </c>
      <c r="I359" s="5" t="n">
        <f aca="false">ABS(H359)</f>
        <v>0</v>
      </c>
      <c r="J359" s="5" t="n">
        <f aca="false">IF(I359=0,1,0)</f>
        <v>1</v>
      </c>
      <c r="K359" s="5" t="n">
        <f aca="false">IF(I359&lt;=1,1,0)</f>
        <v>1</v>
      </c>
      <c r="L359" s="5" t="s">
        <v>71</v>
      </c>
      <c r="M359" s="5" t="s">
        <v>283</v>
      </c>
    </row>
    <row r="360" customFormat="false" ht="15" hidden="false" customHeight="false" outlineLevel="0" collapsed="false">
      <c r="A360" s="5" t="s">
        <v>50</v>
      </c>
      <c r="B360" s="5" t="s">
        <v>49</v>
      </c>
      <c r="C360" s="5" t="s">
        <v>170</v>
      </c>
      <c r="D360" s="5" t="s">
        <v>107</v>
      </c>
      <c r="E360" s="5" t="s">
        <v>180</v>
      </c>
      <c r="F360" s="5" t="n">
        <v>2</v>
      </c>
      <c r="G360" s="5" t="n">
        <v>2</v>
      </c>
      <c r="H360" s="5" t="n">
        <f aca="false">G360-F360</f>
        <v>0</v>
      </c>
      <c r="I360" s="5" t="n">
        <f aca="false">ABS(H360)</f>
        <v>0</v>
      </c>
      <c r="J360" s="5" t="n">
        <f aca="false">IF(I360=0,1,0)</f>
        <v>1</v>
      </c>
      <c r="K360" s="5" t="n">
        <f aca="false">IF(I360&lt;=1,1,0)</f>
        <v>1</v>
      </c>
      <c r="L360" s="5" t="s">
        <v>71</v>
      </c>
      <c r="M360" s="5" t="s">
        <v>283</v>
      </c>
    </row>
    <row r="361" customFormat="false" ht="15" hidden="false" customHeight="false" outlineLevel="0" collapsed="false">
      <c r="A361" s="5" t="s">
        <v>50</v>
      </c>
      <c r="B361" s="5" t="s">
        <v>49</v>
      </c>
      <c r="C361" s="5" t="s">
        <v>170</v>
      </c>
      <c r="D361" s="5" t="s">
        <v>107</v>
      </c>
      <c r="E361" s="5" t="s">
        <v>181</v>
      </c>
      <c r="F361" s="5" t="n">
        <v>2</v>
      </c>
      <c r="G361" s="5" t="n">
        <v>2</v>
      </c>
      <c r="H361" s="5" t="n">
        <f aca="false">G361-F361</f>
        <v>0</v>
      </c>
      <c r="I361" s="5" t="n">
        <f aca="false">ABS(H361)</f>
        <v>0</v>
      </c>
      <c r="J361" s="5" t="n">
        <f aca="false">IF(I361=0,1,0)</f>
        <v>1</v>
      </c>
      <c r="K361" s="5" t="n">
        <f aca="false">IF(I361&lt;=1,1,0)</f>
        <v>1</v>
      </c>
      <c r="L361" s="5" t="s">
        <v>71</v>
      </c>
      <c r="M361" s="5" t="s">
        <v>283</v>
      </c>
    </row>
    <row r="362" customFormat="false" ht="15" hidden="false" customHeight="false" outlineLevel="0" collapsed="false">
      <c r="A362" s="5" t="s">
        <v>50</v>
      </c>
      <c r="B362" s="5" t="s">
        <v>49</v>
      </c>
      <c r="C362" s="5" t="s">
        <v>170</v>
      </c>
      <c r="D362" s="5" t="s">
        <v>182</v>
      </c>
      <c r="E362" s="5" t="s">
        <v>183</v>
      </c>
      <c r="F362" s="5" t="n">
        <v>0</v>
      </c>
      <c r="G362" s="5" t="n">
        <v>0</v>
      </c>
      <c r="H362" s="5" t="n">
        <f aca="false">G362-F362</f>
        <v>0</v>
      </c>
      <c r="I362" s="5" t="n">
        <f aca="false">ABS(H362)</f>
        <v>0</v>
      </c>
      <c r="J362" s="5" t="n">
        <f aca="false">IF(I362=0,1,0)</f>
        <v>1</v>
      </c>
      <c r="K362" s="5" t="n">
        <f aca="false">IF(I362&lt;=1,1,0)</f>
        <v>1</v>
      </c>
      <c r="L362" s="5" t="s">
        <v>71</v>
      </c>
      <c r="M362" s="5" t="s">
        <v>284</v>
      </c>
    </row>
    <row r="363" customFormat="false" ht="15" hidden="false" customHeight="false" outlineLevel="0" collapsed="false">
      <c r="A363" s="5" t="s">
        <v>50</v>
      </c>
      <c r="B363" s="5" t="s">
        <v>49</v>
      </c>
      <c r="C363" s="5" t="s">
        <v>170</v>
      </c>
      <c r="D363" s="5" t="s">
        <v>182</v>
      </c>
      <c r="E363" s="5" t="s">
        <v>185</v>
      </c>
      <c r="F363" s="5" t="n">
        <v>3</v>
      </c>
      <c r="G363" s="5" t="n">
        <v>3</v>
      </c>
      <c r="H363" s="5" t="n">
        <f aca="false">G363-F363</f>
        <v>0</v>
      </c>
      <c r="I363" s="5" t="n">
        <f aca="false">ABS(H363)</f>
        <v>0</v>
      </c>
      <c r="J363" s="5" t="n">
        <f aca="false">IF(I363=0,1,0)</f>
        <v>1</v>
      </c>
      <c r="K363" s="5" t="n">
        <f aca="false">IF(I363&lt;=1,1,0)</f>
        <v>1</v>
      </c>
      <c r="L363" s="5" t="s">
        <v>71</v>
      </c>
      <c r="M363" s="5" t="s">
        <v>284</v>
      </c>
    </row>
    <row r="364" customFormat="false" ht="15" hidden="false" customHeight="false" outlineLevel="0" collapsed="false">
      <c r="A364" s="5" t="s">
        <v>50</v>
      </c>
      <c r="B364" s="5" t="s">
        <v>49</v>
      </c>
      <c r="C364" s="5" t="s">
        <v>170</v>
      </c>
      <c r="D364" s="5" t="s">
        <v>182</v>
      </c>
      <c r="E364" s="5" t="s">
        <v>186</v>
      </c>
      <c r="F364" s="5" t="n">
        <v>0</v>
      </c>
      <c r="G364" s="5" t="n">
        <v>0</v>
      </c>
      <c r="H364" s="5" t="n">
        <f aca="false">G364-F364</f>
        <v>0</v>
      </c>
      <c r="I364" s="5" t="n">
        <f aca="false">ABS(H364)</f>
        <v>0</v>
      </c>
      <c r="J364" s="5" t="n">
        <f aca="false">IF(I364=0,1,0)</f>
        <v>1</v>
      </c>
      <c r="K364" s="5" t="n">
        <f aca="false">IF(I364&lt;=1,1,0)</f>
        <v>1</v>
      </c>
      <c r="L364" s="5" t="s">
        <v>71</v>
      </c>
      <c r="M364" s="5" t="s">
        <v>284</v>
      </c>
    </row>
    <row r="365" customFormat="false" ht="15" hidden="false" customHeight="false" outlineLevel="0" collapsed="false">
      <c r="A365" s="16" t="s">
        <v>50</v>
      </c>
      <c r="B365" s="16" t="s">
        <v>49</v>
      </c>
      <c r="C365" s="16" t="s">
        <v>170</v>
      </c>
      <c r="D365" s="16" t="s">
        <v>182</v>
      </c>
      <c r="E365" s="16" t="s">
        <v>187</v>
      </c>
      <c r="F365" s="16" t="n">
        <v>1</v>
      </c>
      <c r="G365" s="16" t="n">
        <v>0</v>
      </c>
      <c r="H365" s="16" t="n">
        <f aca="false">G365-F365</f>
        <v>-1</v>
      </c>
      <c r="I365" s="16" t="n">
        <f aca="false">ABS(H365)</f>
        <v>1</v>
      </c>
      <c r="J365" s="16" t="n">
        <f aca="false">IF(I365=0,1,0)</f>
        <v>0</v>
      </c>
      <c r="K365" s="16" t="n">
        <f aca="false">IF(I365&lt;=1,1,0)</f>
        <v>1</v>
      </c>
      <c r="L365" s="16" t="s">
        <v>76</v>
      </c>
      <c r="M365" s="16" t="s">
        <v>284</v>
      </c>
    </row>
    <row r="366" customFormat="false" ht="15" hidden="false" customHeight="false" outlineLevel="0" collapsed="false">
      <c r="A366" s="16" t="s">
        <v>50</v>
      </c>
      <c r="B366" s="16" t="s">
        <v>49</v>
      </c>
      <c r="C366" s="16" t="s">
        <v>170</v>
      </c>
      <c r="D366" s="16" t="s">
        <v>182</v>
      </c>
      <c r="E366" s="16" t="s">
        <v>188</v>
      </c>
      <c r="F366" s="16" t="n">
        <v>3</v>
      </c>
      <c r="G366" s="16" t="n">
        <v>0</v>
      </c>
      <c r="H366" s="16" t="n">
        <f aca="false">G366-F366</f>
        <v>-3</v>
      </c>
      <c r="I366" s="16" t="n">
        <f aca="false">ABS(H366)</f>
        <v>3</v>
      </c>
      <c r="J366" s="16" t="n">
        <f aca="false">IF(I366=0,1,0)</f>
        <v>0</v>
      </c>
      <c r="K366" s="16" t="n">
        <f aca="false">IF(I366&lt;=1,1,0)</f>
        <v>0</v>
      </c>
      <c r="L366" s="16" t="s">
        <v>76</v>
      </c>
      <c r="M366" s="16" t="s">
        <v>284</v>
      </c>
    </row>
    <row r="367" customFormat="false" ht="15" hidden="false" customHeight="false" outlineLevel="0" collapsed="false">
      <c r="A367" s="5" t="s">
        <v>50</v>
      </c>
      <c r="B367" s="5" t="s">
        <v>49</v>
      </c>
      <c r="C367" s="5" t="s">
        <v>170</v>
      </c>
      <c r="D367" s="5" t="s">
        <v>114</v>
      </c>
      <c r="E367" s="5" t="s">
        <v>189</v>
      </c>
      <c r="F367" s="5" t="n">
        <v>0</v>
      </c>
      <c r="G367" s="5" t="n">
        <v>0</v>
      </c>
      <c r="H367" s="5" t="n">
        <f aca="false">G367-F367</f>
        <v>0</v>
      </c>
      <c r="I367" s="5" t="n">
        <f aca="false">ABS(H367)</f>
        <v>0</v>
      </c>
      <c r="J367" s="5" t="n">
        <f aca="false">IF(I367=0,1,0)</f>
        <v>1</v>
      </c>
      <c r="K367" s="5" t="n">
        <f aca="false">IF(I367&lt;=1,1,0)</f>
        <v>1</v>
      </c>
      <c r="L367" s="5" t="s">
        <v>71</v>
      </c>
      <c r="M367" s="5" t="s">
        <v>285</v>
      </c>
    </row>
    <row r="368" customFormat="false" ht="15" hidden="false" customHeight="false" outlineLevel="0" collapsed="false">
      <c r="A368" s="16" t="s">
        <v>50</v>
      </c>
      <c r="B368" s="16" t="s">
        <v>49</v>
      </c>
      <c r="C368" s="16" t="s">
        <v>170</v>
      </c>
      <c r="D368" s="16" t="s">
        <v>114</v>
      </c>
      <c r="E368" s="16" t="s">
        <v>191</v>
      </c>
      <c r="F368" s="16" t="n">
        <v>1</v>
      </c>
      <c r="G368" s="16" t="n">
        <v>2</v>
      </c>
      <c r="H368" s="16" t="n">
        <f aca="false">G368-F368</f>
        <v>1</v>
      </c>
      <c r="I368" s="16" t="n">
        <f aca="false">ABS(H368)</f>
        <v>1</v>
      </c>
      <c r="J368" s="16" t="n">
        <f aca="false">IF(I368=0,1,0)</f>
        <v>0</v>
      </c>
      <c r="K368" s="16" t="n">
        <f aca="false">IF(I368&lt;=1,1,0)</f>
        <v>1</v>
      </c>
      <c r="L368" s="16" t="s">
        <v>76</v>
      </c>
      <c r="M368" s="16" t="s">
        <v>285</v>
      </c>
    </row>
    <row r="369" customFormat="false" ht="15" hidden="false" customHeight="false" outlineLevel="0" collapsed="false">
      <c r="A369" s="5" t="s">
        <v>50</v>
      </c>
      <c r="B369" s="5" t="s">
        <v>49</v>
      </c>
      <c r="C369" s="5" t="s">
        <v>170</v>
      </c>
      <c r="D369" s="5" t="s">
        <v>114</v>
      </c>
      <c r="E369" s="5" t="s">
        <v>192</v>
      </c>
      <c r="F369" s="5" t="n">
        <v>0</v>
      </c>
      <c r="G369" s="5" t="n">
        <v>0</v>
      </c>
      <c r="H369" s="5" t="n">
        <f aca="false">G369-F369</f>
        <v>0</v>
      </c>
      <c r="I369" s="5" t="n">
        <f aca="false">ABS(H369)</f>
        <v>0</v>
      </c>
      <c r="J369" s="5" t="n">
        <f aca="false">IF(I369=0,1,0)</f>
        <v>1</v>
      </c>
      <c r="K369" s="5" t="n">
        <f aca="false">IF(I369&lt;=1,1,0)</f>
        <v>1</v>
      </c>
      <c r="L369" s="5" t="s">
        <v>71</v>
      </c>
      <c r="M369" s="5" t="s">
        <v>285</v>
      </c>
    </row>
    <row r="370" customFormat="false" ht="15" hidden="false" customHeight="false" outlineLevel="0" collapsed="false">
      <c r="A370" s="16" t="s">
        <v>50</v>
      </c>
      <c r="B370" s="16" t="s">
        <v>49</v>
      </c>
      <c r="C370" s="16" t="s">
        <v>170</v>
      </c>
      <c r="D370" s="16" t="s">
        <v>114</v>
      </c>
      <c r="E370" s="16" t="s">
        <v>193</v>
      </c>
      <c r="F370" s="16" t="n">
        <v>2</v>
      </c>
      <c r="G370" s="16" t="n">
        <v>0</v>
      </c>
      <c r="H370" s="16" t="n">
        <f aca="false">G370-F370</f>
        <v>-2</v>
      </c>
      <c r="I370" s="16" t="n">
        <f aca="false">ABS(H370)</f>
        <v>2</v>
      </c>
      <c r="J370" s="16" t="n">
        <f aca="false">IF(I370=0,1,0)</f>
        <v>0</v>
      </c>
      <c r="K370" s="16" t="n">
        <f aca="false">IF(I370&lt;=1,1,0)</f>
        <v>0</v>
      </c>
      <c r="L370" s="16" t="s">
        <v>76</v>
      </c>
      <c r="M370" s="16" t="s">
        <v>285</v>
      </c>
    </row>
    <row r="371" customFormat="false" ht="15" hidden="false" customHeight="false" outlineLevel="0" collapsed="false">
      <c r="A371" s="5" t="s">
        <v>50</v>
      </c>
      <c r="B371" s="5" t="s">
        <v>49</v>
      </c>
      <c r="C371" s="5" t="s">
        <v>170</v>
      </c>
      <c r="D371" s="5" t="s">
        <v>114</v>
      </c>
      <c r="E371" s="5" t="s">
        <v>194</v>
      </c>
      <c r="F371" s="5" t="n">
        <v>3</v>
      </c>
      <c r="G371" s="5" t="n">
        <v>3</v>
      </c>
      <c r="H371" s="5" t="n">
        <f aca="false">G371-F371</f>
        <v>0</v>
      </c>
      <c r="I371" s="5" t="n">
        <f aca="false">ABS(H371)</f>
        <v>0</v>
      </c>
      <c r="J371" s="5" t="n">
        <f aca="false">IF(I371=0,1,0)</f>
        <v>1</v>
      </c>
      <c r="K371" s="5" t="n">
        <f aca="false">IF(I371&lt;=1,1,0)</f>
        <v>1</v>
      </c>
      <c r="L371" s="5" t="s">
        <v>71</v>
      </c>
      <c r="M371" s="5" t="s">
        <v>285</v>
      </c>
    </row>
    <row r="372" customFormat="false" ht="15" hidden="false" customHeight="false" outlineLevel="0" collapsed="false">
      <c r="A372" s="5" t="s">
        <v>50</v>
      </c>
      <c r="B372" s="5" t="s">
        <v>49</v>
      </c>
      <c r="C372" s="5" t="s">
        <v>195</v>
      </c>
      <c r="D372" s="5" t="s">
        <v>196</v>
      </c>
      <c r="E372" s="5" t="s">
        <v>197</v>
      </c>
      <c r="F372" s="5" t="n">
        <v>1</v>
      </c>
      <c r="G372" s="5" t="n">
        <v>1</v>
      </c>
      <c r="H372" s="5" t="n">
        <f aca="false">G372-F372</f>
        <v>0</v>
      </c>
      <c r="I372" s="5" t="n">
        <f aca="false">ABS(H372)</f>
        <v>0</v>
      </c>
      <c r="J372" s="5" t="n">
        <f aca="false">IF(I372=0,1,0)</f>
        <v>1</v>
      </c>
      <c r="K372" s="5" t="n">
        <f aca="false">IF(I372&lt;=1,1,0)</f>
        <v>1</v>
      </c>
      <c r="L372" s="5" t="s">
        <v>71</v>
      </c>
      <c r="M372" s="5" t="s">
        <v>286</v>
      </c>
    </row>
    <row r="373" customFormat="false" ht="15" hidden="false" customHeight="false" outlineLevel="0" collapsed="false">
      <c r="A373" s="5" t="s">
        <v>50</v>
      </c>
      <c r="B373" s="5" t="s">
        <v>49</v>
      </c>
      <c r="C373" s="5" t="s">
        <v>195</v>
      </c>
      <c r="D373" s="5" t="s">
        <v>196</v>
      </c>
      <c r="E373" s="5" t="s">
        <v>199</v>
      </c>
      <c r="F373" s="5" t="n">
        <v>0</v>
      </c>
      <c r="G373" s="5" t="n">
        <v>0</v>
      </c>
      <c r="H373" s="5" t="n">
        <f aca="false">G373-F373</f>
        <v>0</v>
      </c>
      <c r="I373" s="5" t="n">
        <f aca="false">ABS(H373)</f>
        <v>0</v>
      </c>
      <c r="J373" s="5" t="n">
        <f aca="false">IF(I373=0,1,0)</f>
        <v>1</v>
      </c>
      <c r="K373" s="5" t="n">
        <f aca="false">IF(I373&lt;=1,1,0)</f>
        <v>1</v>
      </c>
      <c r="L373" s="5" t="s">
        <v>71</v>
      </c>
      <c r="M373" s="5" t="s">
        <v>286</v>
      </c>
    </row>
    <row r="374" customFormat="false" ht="15" hidden="false" customHeight="false" outlineLevel="0" collapsed="false">
      <c r="A374" s="5" t="s">
        <v>50</v>
      </c>
      <c r="B374" s="5" t="s">
        <v>49</v>
      </c>
      <c r="C374" s="5" t="s">
        <v>195</v>
      </c>
      <c r="D374" s="5" t="s">
        <v>196</v>
      </c>
      <c r="E374" s="5" t="s">
        <v>200</v>
      </c>
      <c r="F374" s="5" t="n">
        <v>0</v>
      </c>
      <c r="G374" s="5" t="n">
        <v>0</v>
      </c>
      <c r="H374" s="5" t="n">
        <f aca="false">G374-F374</f>
        <v>0</v>
      </c>
      <c r="I374" s="5" t="n">
        <f aca="false">ABS(H374)</f>
        <v>0</v>
      </c>
      <c r="J374" s="5" t="n">
        <f aca="false">IF(I374=0,1,0)</f>
        <v>1</v>
      </c>
      <c r="K374" s="5" t="n">
        <f aca="false">IF(I374&lt;=1,1,0)</f>
        <v>1</v>
      </c>
      <c r="L374" s="5" t="s">
        <v>71</v>
      </c>
      <c r="M374" s="5" t="s">
        <v>286</v>
      </c>
    </row>
    <row r="375" customFormat="false" ht="15" hidden="false" customHeight="false" outlineLevel="0" collapsed="false">
      <c r="A375" s="5" t="s">
        <v>50</v>
      </c>
      <c r="B375" s="5" t="s">
        <v>49</v>
      </c>
      <c r="C375" s="5" t="s">
        <v>195</v>
      </c>
      <c r="D375" s="5" t="s">
        <v>196</v>
      </c>
      <c r="E375" s="5" t="s">
        <v>256</v>
      </c>
      <c r="F375" s="5" t="n">
        <v>1</v>
      </c>
      <c r="G375" s="5" t="n">
        <v>1</v>
      </c>
      <c r="H375" s="5" t="n">
        <f aca="false">G375-F375</f>
        <v>0</v>
      </c>
      <c r="I375" s="5" t="n">
        <f aca="false">ABS(H375)</f>
        <v>0</v>
      </c>
      <c r="J375" s="5" t="n">
        <f aca="false">IF(I375=0,1,0)</f>
        <v>1</v>
      </c>
      <c r="K375" s="5" t="n">
        <f aca="false">IF(I375&lt;=1,1,0)</f>
        <v>1</v>
      </c>
      <c r="L375" s="5" t="s">
        <v>71</v>
      </c>
      <c r="M375" s="5" t="s">
        <v>286</v>
      </c>
    </row>
    <row r="376" customFormat="false" ht="15" hidden="false" customHeight="false" outlineLevel="0" collapsed="false">
      <c r="A376" s="16" t="s">
        <v>50</v>
      </c>
      <c r="B376" s="16" t="s">
        <v>49</v>
      </c>
      <c r="C376" s="16" t="s">
        <v>195</v>
      </c>
      <c r="D376" s="16" t="s">
        <v>202</v>
      </c>
      <c r="E376" s="16" t="s">
        <v>203</v>
      </c>
      <c r="F376" s="16" t="n">
        <v>1</v>
      </c>
      <c r="G376" s="16" t="n">
        <v>2</v>
      </c>
      <c r="H376" s="16" t="n">
        <f aca="false">G376-F376</f>
        <v>1</v>
      </c>
      <c r="I376" s="16" t="n">
        <f aca="false">ABS(H376)</f>
        <v>1</v>
      </c>
      <c r="J376" s="16" t="n">
        <f aca="false">IF(I376=0,1,0)</f>
        <v>0</v>
      </c>
      <c r="K376" s="16" t="n">
        <f aca="false">IF(I376&lt;=1,1,0)</f>
        <v>1</v>
      </c>
      <c r="L376" s="16" t="s">
        <v>76</v>
      </c>
      <c r="M376" s="16" t="s">
        <v>287</v>
      </c>
    </row>
    <row r="377" customFormat="false" ht="15" hidden="false" customHeight="false" outlineLevel="0" collapsed="false">
      <c r="A377" s="5" t="s">
        <v>50</v>
      </c>
      <c r="B377" s="5" t="s">
        <v>49</v>
      </c>
      <c r="C377" s="5" t="s">
        <v>195</v>
      </c>
      <c r="D377" s="5" t="s">
        <v>202</v>
      </c>
      <c r="E377" s="5" t="s">
        <v>205</v>
      </c>
      <c r="F377" s="5" t="n">
        <v>3</v>
      </c>
      <c r="G377" s="5" t="n">
        <v>3</v>
      </c>
      <c r="H377" s="5" t="n">
        <f aca="false">G377-F377</f>
        <v>0</v>
      </c>
      <c r="I377" s="5" t="n">
        <f aca="false">ABS(H377)</f>
        <v>0</v>
      </c>
      <c r="J377" s="5" t="n">
        <f aca="false">IF(I377=0,1,0)</f>
        <v>1</v>
      </c>
      <c r="K377" s="5" t="n">
        <f aca="false">IF(I377&lt;=1,1,0)</f>
        <v>1</v>
      </c>
      <c r="L377" s="5" t="s">
        <v>71</v>
      </c>
      <c r="M377" s="5" t="s">
        <v>287</v>
      </c>
    </row>
    <row r="378" customFormat="false" ht="15" hidden="false" customHeight="false" outlineLevel="0" collapsed="false">
      <c r="A378" s="16" t="s">
        <v>50</v>
      </c>
      <c r="B378" s="16" t="s">
        <v>49</v>
      </c>
      <c r="C378" s="16" t="s">
        <v>195</v>
      </c>
      <c r="D378" s="16" t="s">
        <v>202</v>
      </c>
      <c r="E378" s="16" t="s">
        <v>206</v>
      </c>
      <c r="F378" s="16" t="n">
        <v>2</v>
      </c>
      <c r="G378" s="16" t="n">
        <v>3</v>
      </c>
      <c r="H378" s="16" t="n">
        <f aca="false">G378-F378</f>
        <v>1</v>
      </c>
      <c r="I378" s="16" t="n">
        <f aca="false">ABS(H378)</f>
        <v>1</v>
      </c>
      <c r="J378" s="16" t="n">
        <f aca="false">IF(I378=0,1,0)</f>
        <v>0</v>
      </c>
      <c r="K378" s="16" t="n">
        <f aca="false">IF(I378&lt;=1,1,0)</f>
        <v>1</v>
      </c>
      <c r="L378" s="16" t="s">
        <v>76</v>
      </c>
      <c r="M378" s="16" t="s">
        <v>287</v>
      </c>
    </row>
    <row r="379" customFormat="false" ht="15" hidden="false" customHeight="false" outlineLevel="0" collapsed="false">
      <c r="A379" s="5" t="s">
        <v>50</v>
      </c>
      <c r="B379" s="5" t="s">
        <v>49</v>
      </c>
      <c r="C379" s="5" t="s">
        <v>195</v>
      </c>
      <c r="D379" s="5" t="s">
        <v>202</v>
      </c>
      <c r="E379" s="5" t="s">
        <v>207</v>
      </c>
      <c r="F379" s="5" t="n">
        <v>0</v>
      </c>
      <c r="G379" s="5" t="n">
        <v>0</v>
      </c>
      <c r="H379" s="5" t="n">
        <f aca="false">G379-F379</f>
        <v>0</v>
      </c>
      <c r="I379" s="5" t="n">
        <f aca="false">ABS(H379)</f>
        <v>0</v>
      </c>
      <c r="J379" s="5" t="n">
        <f aca="false">IF(I379=0,1,0)</f>
        <v>1</v>
      </c>
      <c r="K379" s="5" t="n">
        <f aca="false">IF(I379&lt;=1,1,0)</f>
        <v>1</v>
      </c>
      <c r="L379" s="5" t="s">
        <v>71</v>
      </c>
      <c r="M379" s="5" t="s">
        <v>287</v>
      </c>
    </row>
    <row r="380" customFormat="false" ht="15" hidden="false" customHeight="false" outlineLevel="0" collapsed="false">
      <c r="A380" s="5" t="s">
        <v>50</v>
      </c>
      <c r="B380" s="5" t="s">
        <v>49</v>
      </c>
      <c r="C380" s="5" t="s">
        <v>195</v>
      </c>
      <c r="D380" s="5" t="s">
        <v>202</v>
      </c>
      <c r="E380" s="5" t="s">
        <v>208</v>
      </c>
      <c r="F380" s="5" t="n">
        <v>3</v>
      </c>
      <c r="G380" s="5" t="n">
        <v>3</v>
      </c>
      <c r="H380" s="5" t="n">
        <f aca="false">G380-F380</f>
        <v>0</v>
      </c>
      <c r="I380" s="5" t="n">
        <f aca="false">ABS(H380)</f>
        <v>0</v>
      </c>
      <c r="J380" s="5" t="n">
        <f aca="false">IF(I380=0,1,0)</f>
        <v>1</v>
      </c>
      <c r="K380" s="5" t="n">
        <f aca="false">IF(I380&lt;=1,1,0)</f>
        <v>1</v>
      </c>
      <c r="L380" s="5" t="s">
        <v>71</v>
      </c>
      <c r="M380" s="5" t="s">
        <v>287</v>
      </c>
    </row>
    <row r="381" customFormat="false" ht="15" hidden="false" customHeight="false" outlineLevel="0" collapsed="false">
      <c r="A381" s="5" t="s">
        <v>50</v>
      </c>
      <c r="B381" s="5" t="s">
        <v>49</v>
      </c>
      <c r="C381" s="5" t="s">
        <v>195</v>
      </c>
      <c r="D381" s="5" t="s">
        <v>202</v>
      </c>
      <c r="E381" s="5" t="s">
        <v>209</v>
      </c>
      <c r="F381" s="5" t="n">
        <v>3</v>
      </c>
      <c r="G381" s="5" t="n">
        <v>3</v>
      </c>
      <c r="H381" s="5" t="n">
        <f aca="false">G381-F381</f>
        <v>0</v>
      </c>
      <c r="I381" s="5" t="n">
        <f aca="false">ABS(H381)</f>
        <v>0</v>
      </c>
      <c r="J381" s="5" t="n">
        <f aca="false">IF(I381=0,1,0)</f>
        <v>1</v>
      </c>
      <c r="K381" s="5" t="n">
        <f aca="false">IF(I381&lt;=1,1,0)</f>
        <v>1</v>
      </c>
      <c r="L381" s="5" t="s">
        <v>71</v>
      </c>
      <c r="M381" s="5" t="s">
        <v>287</v>
      </c>
    </row>
    <row r="382" customFormat="false" ht="15" hidden="false" customHeight="false" outlineLevel="0" collapsed="false">
      <c r="A382" s="5" t="s">
        <v>50</v>
      </c>
      <c r="B382" s="5" t="s">
        <v>49</v>
      </c>
      <c r="C382" s="5" t="s">
        <v>195</v>
      </c>
      <c r="D382" s="5" t="s">
        <v>202</v>
      </c>
      <c r="E382" s="5" t="s">
        <v>210</v>
      </c>
      <c r="F382" s="5" t="n">
        <v>3</v>
      </c>
      <c r="G382" s="5" t="n">
        <v>3</v>
      </c>
      <c r="H382" s="5" t="n">
        <f aca="false">G382-F382</f>
        <v>0</v>
      </c>
      <c r="I382" s="5" t="n">
        <f aca="false">ABS(H382)</f>
        <v>0</v>
      </c>
      <c r="J382" s="5" t="n">
        <f aca="false">IF(I382=0,1,0)</f>
        <v>1</v>
      </c>
      <c r="K382" s="5" t="n">
        <f aca="false">IF(I382&lt;=1,1,0)</f>
        <v>1</v>
      </c>
      <c r="L382" s="5" t="s">
        <v>71</v>
      </c>
      <c r="M382" s="5" t="s">
        <v>287</v>
      </c>
    </row>
    <row r="383" customFormat="false" ht="15" hidden="false" customHeight="false" outlineLevel="0" collapsed="false">
      <c r="A383" s="5" t="s">
        <v>50</v>
      </c>
      <c r="B383" s="5" t="s">
        <v>49</v>
      </c>
      <c r="C383" s="5" t="s">
        <v>195</v>
      </c>
      <c r="D383" s="5" t="s">
        <v>202</v>
      </c>
      <c r="E383" s="5" t="s">
        <v>211</v>
      </c>
      <c r="F383" s="5" t="n">
        <v>2</v>
      </c>
      <c r="G383" s="5" t="n">
        <v>2</v>
      </c>
      <c r="H383" s="5" t="n">
        <f aca="false">G383-F383</f>
        <v>0</v>
      </c>
      <c r="I383" s="5" t="n">
        <f aca="false">ABS(H383)</f>
        <v>0</v>
      </c>
      <c r="J383" s="5" t="n">
        <f aca="false">IF(I383=0,1,0)</f>
        <v>1</v>
      </c>
      <c r="K383" s="5" t="n">
        <f aca="false">IF(I383&lt;=1,1,0)</f>
        <v>1</v>
      </c>
      <c r="L383" s="5" t="s">
        <v>71</v>
      </c>
      <c r="M383" s="5" t="s">
        <v>287</v>
      </c>
    </row>
    <row r="384" customFormat="false" ht="15" hidden="false" customHeight="false" outlineLevel="0" collapsed="false">
      <c r="A384" s="5" t="s">
        <v>50</v>
      </c>
      <c r="B384" s="5" t="s">
        <v>49</v>
      </c>
      <c r="C384" s="5" t="s">
        <v>195</v>
      </c>
      <c r="D384" s="5" t="s">
        <v>202</v>
      </c>
      <c r="E384" s="5" t="s">
        <v>212</v>
      </c>
      <c r="F384" s="5" t="n">
        <v>3</v>
      </c>
      <c r="G384" s="5" t="n">
        <v>3</v>
      </c>
      <c r="H384" s="5" t="n">
        <f aca="false">G384-F384</f>
        <v>0</v>
      </c>
      <c r="I384" s="5" t="n">
        <f aca="false">ABS(H384)</f>
        <v>0</v>
      </c>
      <c r="J384" s="5" t="n">
        <f aca="false">IF(I384=0,1,0)</f>
        <v>1</v>
      </c>
      <c r="K384" s="5" t="n">
        <f aca="false">IF(I384&lt;=1,1,0)</f>
        <v>1</v>
      </c>
      <c r="L384" s="5" t="s">
        <v>71</v>
      </c>
      <c r="M384" s="5" t="s">
        <v>287</v>
      </c>
    </row>
    <row r="385" customFormat="false" ht="15" hidden="false" customHeight="false" outlineLevel="0" collapsed="false">
      <c r="A385" s="16" t="s">
        <v>50</v>
      </c>
      <c r="B385" s="16" t="s">
        <v>49</v>
      </c>
      <c r="C385" s="16" t="s">
        <v>195</v>
      </c>
      <c r="D385" s="16" t="s">
        <v>202</v>
      </c>
      <c r="E385" s="16" t="s">
        <v>213</v>
      </c>
      <c r="F385" s="16" t="n">
        <v>0</v>
      </c>
      <c r="G385" s="16" t="n">
        <v>2</v>
      </c>
      <c r="H385" s="16" t="n">
        <f aca="false">G385-F385</f>
        <v>2</v>
      </c>
      <c r="I385" s="16" t="n">
        <f aca="false">ABS(H385)</f>
        <v>2</v>
      </c>
      <c r="J385" s="16" t="n">
        <f aca="false">IF(I385=0,1,0)</f>
        <v>0</v>
      </c>
      <c r="K385" s="16" t="n">
        <f aca="false">IF(I385&lt;=1,1,0)</f>
        <v>0</v>
      </c>
      <c r="L385" s="16" t="s">
        <v>76</v>
      </c>
      <c r="M385" s="16" t="s">
        <v>287</v>
      </c>
    </row>
    <row r="386" customFormat="false" ht="15" hidden="false" customHeight="false" outlineLevel="0" collapsed="false">
      <c r="A386" s="16" t="s">
        <v>50</v>
      </c>
      <c r="B386" s="16" t="s">
        <v>49</v>
      </c>
      <c r="C386" s="16" t="s">
        <v>195</v>
      </c>
      <c r="D386" s="16" t="s">
        <v>202</v>
      </c>
      <c r="E386" s="16" t="s">
        <v>214</v>
      </c>
      <c r="F386" s="16" t="n">
        <v>1</v>
      </c>
      <c r="G386" s="16" t="n">
        <v>0</v>
      </c>
      <c r="H386" s="16" t="n">
        <f aca="false">G386-F386</f>
        <v>-1</v>
      </c>
      <c r="I386" s="16" t="n">
        <f aca="false">ABS(H386)</f>
        <v>1</v>
      </c>
      <c r="J386" s="16" t="n">
        <f aca="false">IF(I386=0,1,0)</f>
        <v>0</v>
      </c>
      <c r="K386" s="16" t="n">
        <f aca="false">IF(I386&lt;=1,1,0)</f>
        <v>1</v>
      </c>
      <c r="L386" s="16" t="s">
        <v>76</v>
      </c>
      <c r="M386" s="16" t="s">
        <v>287</v>
      </c>
    </row>
    <row r="387" customFormat="false" ht="15" hidden="false" customHeight="false" outlineLevel="0" collapsed="false">
      <c r="A387" s="5" t="s">
        <v>50</v>
      </c>
      <c r="B387" s="5" t="s">
        <v>49</v>
      </c>
      <c r="C387" s="5" t="s">
        <v>195</v>
      </c>
      <c r="D387" s="5" t="s">
        <v>202</v>
      </c>
      <c r="E387" s="5" t="s">
        <v>215</v>
      </c>
      <c r="F387" s="5" t="n">
        <v>3</v>
      </c>
      <c r="G387" s="5" t="n">
        <v>3</v>
      </c>
      <c r="H387" s="5" t="n">
        <f aca="false">G387-F387</f>
        <v>0</v>
      </c>
      <c r="I387" s="5" t="n">
        <f aca="false">ABS(H387)</f>
        <v>0</v>
      </c>
      <c r="J387" s="5" t="n">
        <f aca="false">IF(I387=0,1,0)</f>
        <v>1</v>
      </c>
      <c r="K387" s="5" t="n">
        <f aca="false">IF(I387&lt;=1,1,0)</f>
        <v>1</v>
      </c>
      <c r="L387" s="5" t="s">
        <v>71</v>
      </c>
      <c r="M387" s="5" t="s">
        <v>287</v>
      </c>
    </row>
    <row r="388" customFormat="false" ht="15" hidden="false" customHeight="false" outlineLevel="0" collapsed="false">
      <c r="A388" s="16" t="s">
        <v>50</v>
      </c>
      <c r="B388" s="16" t="s">
        <v>49</v>
      </c>
      <c r="C388" s="16" t="s">
        <v>195</v>
      </c>
      <c r="D388" s="16" t="s">
        <v>202</v>
      </c>
      <c r="E388" s="16" t="s">
        <v>216</v>
      </c>
      <c r="F388" s="16" t="n">
        <v>0</v>
      </c>
      <c r="G388" s="16" t="n">
        <v>3</v>
      </c>
      <c r="H388" s="16" t="n">
        <f aca="false">G388-F388</f>
        <v>3</v>
      </c>
      <c r="I388" s="16" t="n">
        <f aca="false">ABS(H388)</f>
        <v>3</v>
      </c>
      <c r="J388" s="16" t="n">
        <f aca="false">IF(I388=0,1,0)</f>
        <v>0</v>
      </c>
      <c r="K388" s="16" t="n">
        <f aca="false">IF(I388&lt;=1,1,0)</f>
        <v>0</v>
      </c>
      <c r="L388" s="16" t="s">
        <v>76</v>
      </c>
      <c r="M388" s="16" t="s">
        <v>287</v>
      </c>
    </row>
    <row r="389" customFormat="false" ht="15" hidden="false" customHeight="false" outlineLevel="0" collapsed="false">
      <c r="A389" s="5" t="s">
        <v>50</v>
      </c>
      <c r="B389" s="5" t="s">
        <v>49</v>
      </c>
      <c r="C389" s="5" t="s">
        <v>195</v>
      </c>
      <c r="D389" s="5" t="s">
        <v>202</v>
      </c>
      <c r="E389" s="5" t="s">
        <v>217</v>
      </c>
      <c r="F389" s="5" t="n">
        <v>3</v>
      </c>
      <c r="G389" s="5" t="n">
        <v>3</v>
      </c>
      <c r="H389" s="5" t="n">
        <f aca="false">G389-F389</f>
        <v>0</v>
      </c>
      <c r="I389" s="5" t="n">
        <f aca="false">ABS(H389)</f>
        <v>0</v>
      </c>
      <c r="J389" s="5" t="n">
        <f aca="false">IF(I389=0,1,0)</f>
        <v>1</v>
      </c>
      <c r="K389" s="5" t="n">
        <f aca="false">IF(I389&lt;=1,1,0)</f>
        <v>1</v>
      </c>
      <c r="L389" s="5" t="s">
        <v>71</v>
      </c>
      <c r="M389" s="5" t="s">
        <v>287</v>
      </c>
    </row>
    <row r="390" customFormat="false" ht="15" hidden="false" customHeight="false" outlineLevel="0" collapsed="false">
      <c r="A390" s="5" t="s">
        <v>50</v>
      </c>
      <c r="B390" s="5" t="s">
        <v>49</v>
      </c>
      <c r="C390" s="5" t="s">
        <v>195</v>
      </c>
      <c r="D390" s="5" t="s">
        <v>202</v>
      </c>
      <c r="E390" s="5" t="s">
        <v>218</v>
      </c>
      <c r="F390" s="5" t="n">
        <v>0</v>
      </c>
      <c r="G390" s="5" t="n">
        <v>0</v>
      </c>
      <c r="H390" s="5" t="n">
        <f aca="false">G390-F390</f>
        <v>0</v>
      </c>
      <c r="I390" s="5" t="n">
        <f aca="false">ABS(H390)</f>
        <v>0</v>
      </c>
      <c r="J390" s="5" t="n">
        <f aca="false">IF(I390=0,1,0)</f>
        <v>1</v>
      </c>
      <c r="K390" s="5" t="n">
        <f aca="false">IF(I390&lt;=1,1,0)</f>
        <v>1</v>
      </c>
      <c r="L390" s="5" t="s">
        <v>71</v>
      </c>
      <c r="M390" s="5" t="s">
        <v>287</v>
      </c>
    </row>
    <row r="391" customFormat="false" ht="15" hidden="false" customHeight="false" outlineLevel="0" collapsed="false">
      <c r="A391" s="16" t="s">
        <v>50</v>
      </c>
      <c r="B391" s="16" t="s">
        <v>49</v>
      </c>
      <c r="C391" s="16" t="s">
        <v>195</v>
      </c>
      <c r="D391" s="16" t="s">
        <v>202</v>
      </c>
      <c r="E391" s="16" t="s">
        <v>219</v>
      </c>
      <c r="F391" s="16" t="n">
        <v>0</v>
      </c>
      <c r="G391" s="16" t="n">
        <v>2</v>
      </c>
      <c r="H391" s="16" t="n">
        <f aca="false">G391-F391</f>
        <v>2</v>
      </c>
      <c r="I391" s="16" t="n">
        <f aca="false">ABS(H391)</f>
        <v>2</v>
      </c>
      <c r="J391" s="16" t="n">
        <f aca="false">IF(I391=0,1,0)</f>
        <v>0</v>
      </c>
      <c r="K391" s="16" t="n">
        <f aca="false">IF(I391&lt;=1,1,0)</f>
        <v>0</v>
      </c>
      <c r="L391" s="16" t="s">
        <v>76</v>
      </c>
      <c r="M391" s="16" t="s">
        <v>287</v>
      </c>
    </row>
    <row r="392" customFormat="false" ht="15" hidden="false" customHeight="false" outlineLevel="0" collapsed="false">
      <c r="A392" s="5" t="s">
        <v>50</v>
      </c>
      <c r="B392" s="5" t="s">
        <v>49</v>
      </c>
      <c r="C392" s="5" t="s">
        <v>195</v>
      </c>
      <c r="D392" s="5" t="s">
        <v>202</v>
      </c>
      <c r="E392" s="5" t="s">
        <v>220</v>
      </c>
      <c r="F392" s="5" t="n">
        <v>3</v>
      </c>
      <c r="G392" s="5" t="n">
        <v>3</v>
      </c>
      <c r="H392" s="5" t="n">
        <f aca="false">G392-F392</f>
        <v>0</v>
      </c>
      <c r="I392" s="5" t="n">
        <f aca="false">ABS(H392)</f>
        <v>0</v>
      </c>
      <c r="J392" s="5" t="n">
        <f aca="false">IF(I392=0,1,0)</f>
        <v>1</v>
      </c>
      <c r="K392" s="5" t="n">
        <f aca="false">IF(I392&lt;=1,1,0)</f>
        <v>1</v>
      </c>
      <c r="L392" s="5" t="s">
        <v>71</v>
      </c>
      <c r="M392" s="5" t="s">
        <v>287</v>
      </c>
    </row>
    <row r="393" customFormat="false" ht="15" hidden="false" customHeight="false" outlineLevel="0" collapsed="false">
      <c r="A393" s="16" t="s">
        <v>50</v>
      </c>
      <c r="B393" s="16" t="s">
        <v>49</v>
      </c>
      <c r="C393" s="16" t="s">
        <v>195</v>
      </c>
      <c r="D393" s="16" t="s">
        <v>202</v>
      </c>
      <c r="E393" s="16" t="s">
        <v>221</v>
      </c>
      <c r="F393" s="16" t="n">
        <v>1</v>
      </c>
      <c r="G393" s="16" t="n">
        <v>3</v>
      </c>
      <c r="H393" s="16" t="n">
        <f aca="false">G393-F393</f>
        <v>2</v>
      </c>
      <c r="I393" s="16" t="n">
        <f aca="false">ABS(H393)</f>
        <v>2</v>
      </c>
      <c r="J393" s="16" t="n">
        <f aca="false">IF(I393=0,1,0)</f>
        <v>0</v>
      </c>
      <c r="K393" s="16" t="n">
        <f aca="false">IF(I393&lt;=1,1,0)</f>
        <v>0</v>
      </c>
      <c r="L393" s="16" t="s">
        <v>76</v>
      </c>
      <c r="M393" s="16" t="s">
        <v>287</v>
      </c>
    </row>
    <row r="394" customFormat="false" ht="15" hidden="false" customHeight="false" outlineLevel="0" collapsed="false">
      <c r="A394" s="16" t="s">
        <v>50</v>
      </c>
      <c r="B394" s="16" t="s">
        <v>49</v>
      </c>
      <c r="C394" s="16" t="s">
        <v>195</v>
      </c>
      <c r="D394" s="16" t="s">
        <v>202</v>
      </c>
      <c r="E394" s="16" t="s">
        <v>222</v>
      </c>
      <c r="F394" s="16" t="n">
        <v>2</v>
      </c>
      <c r="G394" s="16" t="n">
        <v>3</v>
      </c>
      <c r="H394" s="16" t="n">
        <f aca="false">G394-F394</f>
        <v>1</v>
      </c>
      <c r="I394" s="16" t="n">
        <f aca="false">ABS(H394)</f>
        <v>1</v>
      </c>
      <c r="J394" s="16" t="n">
        <f aca="false">IF(I394=0,1,0)</f>
        <v>0</v>
      </c>
      <c r="K394" s="16" t="n">
        <f aca="false">IF(I394&lt;=1,1,0)</f>
        <v>1</v>
      </c>
      <c r="L394" s="16" t="s">
        <v>76</v>
      </c>
      <c r="M394" s="16" t="s">
        <v>287</v>
      </c>
    </row>
    <row r="395" customFormat="false" ht="15" hidden="false" customHeight="false" outlineLevel="0" collapsed="false">
      <c r="A395" s="5" t="s">
        <v>50</v>
      </c>
      <c r="B395" s="5" t="s">
        <v>49</v>
      </c>
      <c r="C395" s="5" t="s">
        <v>195</v>
      </c>
      <c r="D395" s="5" t="s">
        <v>202</v>
      </c>
      <c r="E395" s="5" t="s">
        <v>223</v>
      </c>
      <c r="F395" s="5" t="n">
        <v>0</v>
      </c>
      <c r="G395" s="5" t="n">
        <v>0</v>
      </c>
      <c r="H395" s="5" t="n">
        <f aca="false">G395-F395</f>
        <v>0</v>
      </c>
      <c r="I395" s="5" t="n">
        <f aca="false">ABS(H395)</f>
        <v>0</v>
      </c>
      <c r="J395" s="5" t="n">
        <f aca="false">IF(I395=0,1,0)</f>
        <v>1</v>
      </c>
      <c r="K395" s="5" t="n">
        <f aca="false">IF(I395&lt;=1,1,0)</f>
        <v>1</v>
      </c>
      <c r="L395" s="5" t="s">
        <v>71</v>
      </c>
      <c r="M395" s="5" t="s">
        <v>287</v>
      </c>
    </row>
    <row r="396" customFormat="false" ht="15" hidden="false" customHeight="false" outlineLevel="0" collapsed="false">
      <c r="A396" s="5" t="s">
        <v>51</v>
      </c>
      <c r="B396" s="5" t="s">
        <v>52</v>
      </c>
      <c r="C396" s="5" t="s">
        <v>68</v>
      </c>
      <c r="D396" s="5" t="s">
        <v>69</v>
      </c>
      <c r="E396" s="5" t="s">
        <v>70</v>
      </c>
      <c r="F396" s="5" t="n">
        <v>3</v>
      </c>
      <c r="G396" s="5" t="n">
        <v>3</v>
      </c>
      <c r="H396" s="5" t="n">
        <f aca="false">G396-F396</f>
        <v>0</v>
      </c>
      <c r="I396" s="5" t="n">
        <f aca="false">ABS(H396)</f>
        <v>0</v>
      </c>
      <c r="J396" s="5" t="n">
        <f aca="false">IF(I396=0,1,0)</f>
        <v>1</v>
      </c>
      <c r="K396" s="5" t="n">
        <f aca="false">IF(I396&lt;=1,1,0)</f>
        <v>1</v>
      </c>
      <c r="L396" s="5" t="s">
        <v>71</v>
      </c>
      <c r="M396" s="5" t="s">
        <v>288</v>
      </c>
    </row>
    <row r="397" customFormat="false" ht="15" hidden="false" customHeight="false" outlineLevel="0" collapsed="false">
      <c r="A397" s="5" t="s">
        <v>51</v>
      </c>
      <c r="B397" s="5" t="s">
        <v>52</v>
      </c>
      <c r="C397" s="5" t="s">
        <v>68</v>
      </c>
      <c r="D397" s="5" t="s">
        <v>69</v>
      </c>
      <c r="E397" s="5" t="s">
        <v>73</v>
      </c>
      <c r="F397" s="5" t="n">
        <v>3</v>
      </c>
      <c r="G397" s="5" t="n">
        <v>3</v>
      </c>
      <c r="H397" s="5" t="n">
        <f aca="false">G397-F397</f>
        <v>0</v>
      </c>
      <c r="I397" s="5" t="n">
        <f aca="false">ABS(H397)</f>
        <v>0</v>
      </c>
      <c r="J397" s="5" t="n">
        <f aca="false">IF(I397=0,1,0)</f>
        <v>1</v>
      </c>
      <c r="K397" s="5" t="n">
        <f aca="false">IF(I397&lt;=1,1,0)</f>
        <v>1</v>
      </c>
      <c r="L397" s="5" t="s">
        <v>71</v>
      </c>
      <c r="M397" s="5" t="s">
        <v>288</v>
      </c>
    </row>
    <row r="398" customFormat="false" ht="15" hidden="false" customHeight="false" outlineLevel="0" collapsed="false">
      <c r="A398" s="5" t="s">
        <v>51</v>
      </c>
      <c r="B398" s="5" t="s">
        <v>52</v>
      </c>
      <c r="C398" s="5" t="s">
        <v>68</v>
      </c>
      <c r="D398" s="5" t="s">
        <v>74</v>
      </c>
      <c r="E398" s="5" t="s">
        <v>289</v>
      </c>
      <c r="F398" s="5" t="n">
        <v>3</v>
      </c>
      <c r="G398" s="5" t="n">
        <v>3</v>
      </c>
      <c r="H398" s="5" t="n">
        <f aca="false">G398-F398</f>
        <v>0</v>
      </c>
      <c r="I398" s="5" t="n">
        <f aca="false">ABS(H398)</f>
        <v>0</v>
      </c>
      <c r="J398" s="5" t="n">
        <f aca="false">IF(I398=0,1,0)</f>
        <v>1</v>
      </c>
      <c r="K398" s="5" t="n">
        <f aca="false">IF(I398&lt;=1,1,0)</f>
        <v>1</v>
      </c>
      <c r="L398" s="5" t="s">
        <v>71</v>
      </c>
      <c r="M398" s="5" t="s">
        <v>290</v>
      </c>
    </row>
    <row r="399" customFormat="false" ht="15" hidden="false" customHeight="false" outlineLevel="0" collapsed="false">
      <c r="A399" s="16" t="s">
        <v>51</v>
      </c>
      <c r="B399" s="16" t="s">
        <v>52</v>
      </c>
      <c r="C399" s="16" t="s">
        <v>68</v>
      </c>
      <c r="D399" s="16" t="s">
        <v>74</v>
      </c>
      <c r="E399" s="16" t="s">
        <v>78</v>
      </c>
      <c r="F399" s="16" t="n">
        <v>2</v>
      </c>
      <c r="G399" s="16" t="n">
        <v>3</v>
      </c>
      <c r="H399" s="16" t="n">
        <f aca="false">G399-F399</f>
        <v>1</v>
      </c>
      <c r="I399" s="16" t="n">
        <f aca="false">ABS(H399)</f>
        <v>1</v>
      </c>
      <c r="J399" s="16" t="n">
        <f aca="false">IF(I399=0,1,0)</f>
        <v>0</v>
      </c>
      <c r="K399" s="16" t="n">
        <f aca="false">IF(I399&lt;=1,1,0)</f>
        <v>1</v>
      </c>
      <c r="L399" s="16" t="s">
        <v>76</v>
      </c>
      <c r="M399" s="16" t="s">
        <v>290</v>
      </c>
    </row>
    <row r="400" customFormat="false" ht="15" hidden="false" customHeight="false" outlineLevel="0" collapsed="false">
      <c r="A400" s="5" t="s">
        <v>51</v>
      </c>
      <c r="B400" s="5" t="s">
        <v>52</v>
      </c>
      <c r="C400" s="5" t="s">
        <v>68</v>
      </c>
      <c r="D400" s="5" t="s">
        <v>74</v>
      </c>
      <c r="E400" s="5" t="s">
        <v>79</v>
      </c>
      <c r="F400" s="5" t="n">
        <v>3</v>
      </c>
      <c r="G400" s="5" t="n">
        <v>3</v>
      </c>
      <c r="H400" s="5" t="n">
        <f aca="false">G400-F400</f>
        <v>0</v>
      </c>
      <c r="I400" s="5" t="n">
        <f aca="false">ABS(H400)</f>
        <v>0</v>
      </c>
      <c r="J400" s="5" t="n">
        <f aca="false">IF(I400=0,1,0)</f>
        <v>1</v>
      </c>
      <c r="K400" s="5" t="n">
        <f aca="false">IF(I400&lt;=1,1,0)</f>
        <v>1</v>
      </c>
      <c r="L400" s="5" t="s">
        <v>71</v>
      </c>
      <c r="M400" s="5" t="s">
        <v>290</v>
      </c>
    </row>
    <row r="401" customFormat="false" ht="15" hidden="false" customHeight="false" outlineLevel="0" collapsed="false">
      <c r="A401" s="5" t="s">
        <v>51</v>
      </c>
      <c r="B401" s="5" t="s">
        <v>52</v>
      </c>
      <c r="C401" s="5" t="s">
        <v>68</v>
      </c>
      <c r="D401" s="5" t="s">
        <v>74</v>
      </c>
      <c r="E401" s="5" t="s">
        <v>80</v>
      </c>
      <c r="F401" s="5" t="n">
        <v>2</v>
      </c>
      <c r="G401" s="5" t="n">
        <v>2</v>
      </c>
      <c r="H401" s="5" t="n">
        <f aca="false">G401-F401</f>
        <v>0</v>
      </c>
      <c r="I401" s="5" t="n">
        <f aca="false">ABS(H401)</f>
        <v>0</v>
      </c>
      <c r="J401" s="5" t="n">
        <f aca="false">IF(I401=0,1,0)</f>
        <v>1</v>
      </c>
      <c r="K401" s="5" t="n">
        <f aca="false">IF(I401&lt;=1,1,0)</f>
        <v>1</v>
      </c>
      <c r="L401" s="5" t="s">
        <v>71</v>
      </c>
      <c r="M401" s="5" t="s">
        <v>290</v>
      </c>
    </row>
    <row r="402" customFormat="false" ht="15" hidden="false" customHeight="false" outlineLevel="0" collapsed="false">
      <c r="A402" s="5" t="s">
        <v>51</v>
      </c>
      <c r="B402" s="5" t="s">
        <v>52</v>
      </c>
      <c r="C402" s="5" t="s">
        <v>68</v>
      </c>
      <c r="D402" s="5" t="s">
        <v>74</v>
      </c>
      <c r="E402" s="5" t="s">
        <v>81</v>
      </c>
      <c r="F402" s="5" t="n">
        <v>3</v>
      </c>
      <c r="G402" s="5" t="n">
        <v>3</v>
      </c>
      <c r="H402" s="5" t="n">
        <f aca="false">G402-F402</f>
        <v>0</v>
      </c>
      <c r="I402" s="5" t="n">
        <f aca="false">ABS(H402)</f>
        <v>0</v>
      </c>
      <c r="J402" s="5" t="n">
        <f aca="false">IF(I402=0,1,0)</f>
        <v>1</v>
      </c>
      <c r="K402" s="5" t="n">
        <f aca="false">IF(I402&lt;=1,1,0)</f>
        <v>1</v>
      </c>
      <c r="L402" s="5" t="s">
        <v>71</v>
      </c>
      <c r="M402" s="5" t="s">
        <v>290</v>
      </c>
    </row>
    <row r="403" customFormat="false" ht="15" hidden="false" customHeight="false" outlineLevel="0" collapsed="false">
      <c r="A403" s="5" t="s">
        <v>51</v>
      </c>
      <c r="B403" s="5" t="s">
        <v>52</v>
      </c>
      <c r="C403" s="5" t="s">
        <v>68</v>
      </c>
      <c r="D403" s="5" t="s">
        <v>82</v>
      </c>
      <c r="E403" s="5" t="s">
        <v>289</v>
      </c>
      <c r="F403" s="5" t="n">
        <v>2</v>
      </c>
      <c r="G403" s="5" t="n">
        <v>2</v>
      </c>
      <c r="H403" s="5" t="n">
        <f aca="false">G403-F403</f>
        <v>0</v>
      </c>
      <c r="I403" s="5" t="n">
        <f aca="false">ABS(H403)</f>
        <v>0</v>
      </c>
      <c r="J403" s="5" t="n">
        <f aca="false">IF(I403=0,1,0)</f>
        <v>1</v>
      </c>
      <c r="K403" s="5" t="n">
        <f aca="false">IF(I403&lt;=1,1,0)</f>
        <v>1</v>
      </c>
      <c r="L403" s="5" t="s">
        <v>71</v>
      </c>
      <c r="M403" s="5" t="s">
        <v>291</v>
      </c>
    </row>
    <row r="404" customFormat="false" ht="15" hidden="false" customHeight="false" outlineLevel="0" collapsed="false">
      <c r="A404" s="5" t="s">
        <v>51</v>
      </c>
      <c r="B404" s="5" t="s">
        <v>52</v>
      </c>
      <c r="C404" s="5" t="s">
        <v>68</v>
      </c>
      <c r="D404" s="5" t="s">
        <v>82</v>
      </c>
      <c r="E404" s="5" t="s">
        <v>78</v>
      </c>
      <c r="F404" s="5" t="n">
        <v>3</v>
      </c>
      <c r="G404" s="5" t="n">
        <v>3</v>
      </c>
      <c r="H404" s="5" t="n">
        <f aca="false">G404-F404</f>
        <v>0</v>
      </c>
      <c r="I404" s="5" t="n">
        <f aca="false">ABS(H404)</f>
        <v>0</v>
      </c>
      <c r="J404" s="5" t="n">
        <f aca="false">IF(I404=0,1,0)</f>
        <v>1</v>
      </c>
      <c r="K404" s="5" t="n">
        <f aca="false">IF(I404&lt;=1,1,0)</f>
        <v>1</v>
      </c>
      <c r="L404" s="5" t="s">
        <v>71</v>
      </c>
      <c r="M404" s="5" t="s">
        <v>291</v>
      </c>
    </row>
    <row r="405" customFormat="false" ht="15" hidden="false" customHeight="false" outlineLevel="0" collapsed="false">
      <c r="A405" s="5" t="s">
        <v>51</v>
      </c>
      <c r="B405" s="5" t="s">
        <v>52</v>
      </c>
      <c r="C405" s="5" t="s">
        <v>68</v>
      </c>
      <c r="D405" s="5" t="s">
        <v>82</v>
      </c>
      <c r="E405" s="5" t="s">
        <v>79</v>
      </c>
      <c r="F405" s="5" t="n">
        <v>3</v>
      </c>
      <c r="G405" s="5" t="n">
        <v>3</v>
      </c>
      <c r="H405" s="5" t="n">
        <f aca="false">G405-F405</f>
        <v>0</v>
      </c>
      <c r="I405" s="5" t="n">
        <f aca="false">ABS(H405)</f>
        <v>0</v>
      </c>
      <c r="J405" s="5" t="n">
        <f aca="false">IF(I405=0,1,0)</f>
        <v>1</v>
      </c>
      <c r="K405" s="5" t="n">
        <f aca="false">IF(I405&lt;=1,1,0)</f>
        <v>1</v>
      </c>
      <c r="L405" s="5" t="s">
        <v>71</v>
      </c>
      <c r="M405" s="5" t="s">
        <v>291</v>
      </c>
    </row>
    <row r="406" customFormat="false" ht="15" hidden="false" customHeight="false" outlineLevel="0" collapsed="false">
      <c r="A406" s="5" t="s">
        <v>51</v>
      </c>
      <c r="B406" s="5" t="s">
        <v>52</v>
      </c>
      <c r="C406" s="5" t="s">
        <v>68</v>
      </c>
      <c r="D406" s="5" t="s">
        <v>82</v>
      </c>
      <c r="E406" s="5" t="s">
        <v>80</v>
      </c>
      <c r="F406" s="5" t="n">
        <v>1</v>
      </c>
      <c r="G406" s="5" t="n">
        <v>1</v>
      </c>
      <c r="H406" s="5" t="n">
        <f aca="false">G406-F406</f>
        <v>0</v>
      </c>
      <c r="I406" s="5" t="n">
        <f aca="false">ABS(H406)</f>
        <v>0</v>
      </c>
      <c r="J406" s="5" t="n">
        <f aca="false">IF(I406=0,1,0)</f>
        <v>1</v>
      </c>
      <c r="K406" s="5" t="n">
        <f aca="false">IF(I406&lt;=1,1,0)</f>
        <v>1</v>
      </c>
      <c r="L406" s="5" t="s">
        <v>71</v>
      </c>
      <c r="M406" s="5" t="s">
        <v>291</v>
      </c>
    </row>
    <row r="407" customFormat="false" ht="15" hidden="false" customHeight="false" outlineLevel="0" collapsed="false">
      <c r="A407" s="5" t="s">
        <v>51</v>
      </c>
      <c r="B407" s="5" t="s">
        <v>52</v>
      </c>
      <c r="C407" s="5" t="s">
        <v>68</v>
      </c>
      <c r="D407" s="5" t="s">
        <v>82</v>
      </c>
      <c r="E407" s="5" t="s">
        <v>81</v>
      </c>
      <c r="F407" s="5" t="n">
        <v>2</v>
      </c>
      <c r="G407" s="5" t="n">
        <v>2</v>
      </c>
      <c r="H407" s="5" t="n">
        <f aca="false">G407-F407</f>
        <v>0</v>
      </c>
      <c r="I407" s="5" t="n">
        <f aca="false">ABS(H407)</f>
        <v>0</v>
      </c>
      <c r="J407" s="5" t="n">
        <f aca="false">IF(I407=0,1,0)</f>
        <v>1</v>
      </c>
      <c r="K407" s="5" t="n">
        <f aca="false">IF(I407&lt;=1,1,0)</f>
        <v>1</v>
      </c>
      <c r="L407" s="5" t="s">
        <v>71</v>
      </c>
      <c r="M407" s="5" t="s">
        <v>291</v>
      </c>
    </row>
    <row r="408" customFormat="false" ht="15" hidden="false" customHeight="false" outlineLevel="0" collapsed="false">
      <c r="A408" s="16" t="s">
        <v>51</v>
      </c>
      <c r="B408" s="16" t="s">
        <v>52</v>
      </c>
      <c r="C408" s="16" t="s">
        <v>84</v>
      </c>
      <c r="D408" s="16" t="s">
        <v>69</v>
      </c>
      <c r="E408" s="16" t="s">
        <v>85</v>
      </c>
      <c r="F408" s="16" t="n">
        <v>3</v>
      </c>
      <c r="G408" s="16" t="n">
        <v>1</v>
      </c>
      <c r="H408" s="16" t="n">
        <f aca="false">G408-F408</f>
        <v>-2</v>
      </c>
      <c r="I408" s="16" t="n">
        <f aca="false">ABS(H408)</f>
        <v>2</v>
      </c>
      <c r="J408" s="16" t="n">
        <f aca="false">IF(I408=0,1,0)</f>
        <v>0</v>
      </c>
      <c r="K408" s="16" t="n">
        <f aca="false">IF(I408&lt;=1,1,0)</f>
        <v>0</v>
      </c>
      <c r="L408" s="16" t="s">
        <v>76</v>
      </c>
      <c r="M408" s="16" t="s">
        <v>292</v>
      </c>
    </row>
    <row r="409" customFormat="false" ht="15" hidden="false" customHeight="false" outlineLevel="0" collapsed="false">
      <c r="A409" s="16" t="s">
        <v>51</v>
      </c>
      <c r="B409" s="16" t="s">
        <v>52</v>
      </c>
      <c r="C409" s="16" t="s">
        <v>84</v>
      </c>
      <c r="D409" s="16" t="s">
        <v>87</v>
      </c>
      <c r="E409" s="16" t="s">
        <v>88</v>
      </c>
      <c r="F409" s="16" t="n">
        <v>1</v>
      </c>
      <c r="G409" s="16" t="n">
        <v>0</v>
      </c>
      <c r="H409" s="16" t="n">
        <f aca="false">G409-F409</f>
        <v>-1</v>
      </c>
      <c r="I409" s="16" t="n">
        <f aca="false">ABS(H409)</f>
        <v>1</v>
      </c>
      <c r="J409" s="16" t="n">
        <f aca="false">IF(I409=0,1,0)</f>
        <v>0</v>
      </c>
      <c r="K409" s="16" t="n">
        <f aca="false">IF(I409&lt;=1,1,0)</f>
        <v>1</v>
      </c>
      <c r="L409" s="16" t="s">
        <v>76</v>
      </c>
      <c r="M409" s="16" t="s">
        <v>293</v>
      </c>
    </row>
    <row r="410" customFormat="false" ht="15" hidden="false" customHeight="false" outlineLevel="0" collapsed="false">
      <c r="A410" s="16" t="s">
        <v>51</v>
      </c>
      <c r="B410" s="16" t="s">
        <v>52</v>
      </c>
      <c r="C410" s="16" t="s">
        <v>84</v>
      </c>
      <c r="D410" s="16" t="s">
        <v>87</v>
      </c>
      <c r="E410" s="16" t="s">
        <v>90</v>
      </c>
      <c r="F410" s="16" t="n">
        <v>0</v>
      </c>
      <c r="G410" s="16" t="n">
        <v>1</v>
      </c>
      <c r="H410" s="16" t="n">
        <f aca="false">G410-F410</f>
        <v>1</v>
      </c>
      <c r="I410" s="16" t="n">
        <f aca="false">ABS(H410)</f>
        <v>1</v>
      </c>
      <c r="J410" s="16" t="n">
        <f aca="false">IF(I410=0,1,0)</f>
        <v>0</v>
      </c>
      <c r="K410" s="16" t="n">
        <f aca="false">IF(I410&lt;=1,1,0)</f>
        <v>1</v>
      </c>
      <c r="L410" s="16" t="s">
        <v>76</v>
      </c>
      <c r="M410" s="16" t="s">
        <v>293</v>
      </c>
    </row>
    <row r="411" customFormat="false" ht="15" hidden="false" customHeight="false" outlineLevel="0" collapsed="false">
      <c r="A411" s="16" t="s">
        <v>51</v>
      </c>
      <c r="B411" s="16" t="s">
        <v>52</v>
      </c>
      <c r="C411" s="16" t="s">
        <v>84</v>
      </c>
      <c r="D411" s="16" t="s">
        <v>87</v>
      </c>
      <c r="E411" s="16" t="s">
        <v>91</v>
      </c>
      <c r="F411" s="16" t="n">
        <v>3</v>
      </c>
      <c r="G411" s="16" t="n">
        <v>1</v>
      </c>
      <c r="H411" s="16" t="n">
        <f aca="false">G411-F411</f>
        <v>-2</v>
      </c>
      <c r="I411" s="16" t="n">
        <f aca="false">ABS(H411)</f>
        <v>2</v>
      </c>
      <c r="J411" s="16" t="n">
        <f aca="false">IF(I411=0,1,0)</f>
        <v>0</v>
      </c>
      <c r="K411" s="16" t="n">
        <f aca="false">IF(I411&lt;=1,1,0)</f>
        <v>0</v>
      </c>
      <c r="L411" s="16" t="s">
        <v>76</v>
      </c>
      <c r="M411" s="16" t="s">
        <v>293</v>
      </c>
    </row>
    <row r="412" customFormat="false" ht="15" hidden="false" customHeight="false" outlineLevel="0" collapsed="false">
      <c r="A412" s="16" t="s">
        <v>51</v>
      </c>
      <c r="B412" s="16" t="s">
        <v>52</v>
      </c>
      <c r="C412" s="16" t="s">
        <v>84</v>
      </c>
      <c r="D412" s="16" t="s">
        <v>87</v>
      </c>
      <c r="E412" s="16" t="s">
        <v>92</v>
      </c>
      <c r="F412" s="16" t="n">
        <v>3</v>
      </c>
      <c r="G412" s="16" t="n">
        <v>1</v>
      </c>
      <c r="H412" s="16" t="n">
        <f aca="false">G412-F412</f>
        <v>-2</v>
      </c>
      <c r="I412" s="16" t="n">
        <f aca="false">ABS(H412)</f>
        <v>2</v>
      </c>
      <c r="J412" s="16" t="n">
        <f aca="false">IF(I412=0,1,0)</f>
        <v>0</v>
      </c>
      <c r="K412" s="16" t="n">
        <f aca="false">IF(I412&lt;=1,1,0)</f>
        <v>0</v>
      </c>
      <c r="L412" s="16" t="s">
        <v>76</v>
      </c>
      <c r="M412" s="16" t="s">
        <v>293</v>
      </c>
    </row>
    <row r="413" customFormat="false" ht="15" hidden="false" customHeight="false" outlineLevel="0" collapsed="false">
      <c r="A413" s="16" t="s">
        <v>51</v>
      </c>
      <c r="B413" s="16" t="s">
        <v>52</v>
      </c>
      <c r="C413" s="16" t="s">
        <v>84</v>
      </c>
      <c r="D413" s="16" t="s">
        <v>87</v>
      </c>
      <c r="E413" s="16" t="s">
        <v>93</v>
      </c>
      <c r="F413" s="16" t="n">
        <v>3</v>
      </c>
      <c r="G413" s="16" t="n">
        <v>1</v>
      </c>
      <c r="H413" s="16" t="n">
        <f aca="false">G413-F413</f>
        <v>-2</v>
      </c>
      <c r="I413" s="16" t="n">
        <f aca="false">ABS(H413)</f>
        <v>2</v>
      </c>
      <c r="J413" s="16" t="n">
        <f aca="false">IF(I413=0,1,0)</f>
        <v>0</v>
      </c>
      <c r="K413" s="16" t="n">
        <f aca="false">IF(I413&lt;=1,1,0)</f>
        <v>0</v>
      </c>
      <c r="L413" s="16" t="s">
        <v>76</v>
      </c>
      <c r="M413" s="16" t="s">
        <v>293</v>
      </c>
    </row>
    <row r="414" customFormat="false" ht="15" hidden="false" customHeight="false" outlineLevel="0" collapsed="false">
      <c r="A414" s="16" t="s">
        <v>51</v>
      </c>
      <c r="B414" s="16" t="s">
        <v>52</v>
      </c>
      <c r="C414" s="16" t="s">
        <v>84</v>
      </c>
      <c r="D414" s="16" t="s">
        <v>87</v>
      </c>
      <c r="E414" s="16" t="s">
        <v>94</v>
      </c>
      <c r="F414" s="16" t="n">
        <v>3</v>
      </c>
      <c r="G414" s="16" t="n">
        <v>1</v>
      </c>
      <c r="H414" s="16" t="n">
        <f aca="false">G414-F414</f>
        <v>-2</v>
      </c>
      <c r="I414" s="16" t="n">
        <f aca="false">ABS(H414)</f>
        <v>2</v>
      </c>
      <c r="J414" s="16" t="n">
        <f aca="false">IF(I414=0,1,0)</f>
        <v>0</v>
      </c>
      <c r="K414" s="16" t="n">
        <f aca="false">IF(I414&lt;=1,1,0)</f>
        <v>0</v>
      </c>
      <c r="L414" s="16" t="s">
        <v>76</v>
      </c>
      <c r="M414" s="16" t="s">
        <v>293</v>
      </c>
    </row>
    <row r="415" customFormat="false" ht="15" hidden="false" customHeight="false" outlineLevel="0" collapsed="false">
      <c r="A415" s="16" t="s">
        <v>51</v>
      </c>
      <c r="B415" s="16" t="s">
        <v>52</v>
      </c>
      <c r="C415" s="16" t="s">
        <v>84</v>
      </c>
      <c r="D415" s="16" t="s">
        <v>87</v>
      </c>
      <c r="E415" s="16" t="s">
        <v>95</v>
      </c>
      <c r="F415" s="16" t="n">
        <v>1</v>
      </c>
      <c r="G415" s="16" t="n">
        <v>0</v>
      </c>
      <c r="H415" s="16" t="n">
        <f aca="false">G415-F415</f>
        <v>-1</v>
      </c>
      <c r="I415" s="16" t="n">
        <f aca="false">ABS(H415)</f>
        <v>1</v>
      </c>
      <c r="J415" s="16" t="n">
        <f aca="false">IF(I415=0,1,0)</f>
        <v>0</v>
      </c>
      <c r="K415" s="16" t="n">
        <f aca="false">IF(I415&lt;=1,1,0)</f>
        <v>1</v>
      </c>
      <c r="L415" s="16" t="s">
        <v>76</v>
      </c>
      <c r="M415" s="16" t="s">
        <v>293</v>
      </c>
    </row>
    <row r="416" customFormat="false" ht="15" hidden="false" customHeight="false" outlineLevel="0" collapsed="false">
      <c r="A416" s="5" t="s">
        <v>51</v>
      </c>
      <c r="B416" s="5" t="s">
        <v>52</v>
      </c>
      <c r="C416" s="5" t="s">
        <v>84</v>
      </c>
      <c r="D416" s="5" t="s">
        <v>96</v>
      </c>
      <c r="E416" s="5" t="s">
        <v>88</v>
      </c>
      <c r="F416" s="5" t="n">
        <v>2</v>
      </c>
      <c r="G416" s="5" t="n">
        <v>2</v>
      </c>
      <c r="H416" s="5" t="n">
        <f aca="false">G416-F416</f>
        <v>0</v>
      </c>
      <c r="I416" s="5" t="n">
        <f aca="false">ABS(H416)</f>
        <v>0</v>
      </c>
      <c r="J416" s="5" t="n">
        <f aca="false">IF(I416=0,1,0)</f>
        <v>1</v>
      </c>
      <c r="K416" s="5" t="n">
        <f aca="false">IF(I416&lt;=1,1,0)</f>
        <v>1</v>
      </c>
      <c r="L416" s="5" t="s">
        <v>71</v>
      </c>
      <c r="M416" s="5" t="s">
        <v>294</v>
      </c>
    </row>
    <row r="417" customFormat="false" ht="15" hidden="false" customHeight="false" outlineLevel="0" collapsed="false">
      <c r="A417" s="5" t="s">
        <v>51</v>
      </c>
      <c r="B417" s="5" t="s">
        <v>52</v>
      </c>
      <c r="C417" s="5" t="s">
        <v>84</v>
      </c>
      <c r="D417" s="5" t="s">
        <v>96</v>
      </c>
      <c r="E417" s="5" t="s">
        <v>98</v>
      </c>
      <c r="F417" s="5" t="n">
        <v>3</v>
      </c>
      <c r="G417" s="5" t="n">
        <v>3</v>
      </c>
      <c r="H417" s="5" t="n">
        <f aca="false">G417-F417</f>
        <v>0</v>
      </c>
      <c r="I417" s="5" t="n">
        <f aca="false">ABS(H417)</f>
        <v>0</v>
      </c>
      <c r="J417" s="5" t="n">
        <f aca="false">IF(I417=0,1,0)</f>
        <v>1</v>
      </c>
      <c r="K417" s="5" t="n">
        <f aca="false">IF(I417&lt;=1,1,0)</f>
        <v>1</v>
      </c>
      <c r="L417" s="5" t="s">
        <v>71</v>
      </c>
      <c r="M417" s="5" t="s">
        <v>294</v>
      </c>
    </row>
    <row r="418" customFormat="false" ht="15" hidden="false" customHeight="false" outlineLevel="0" collapsed="false">
      <c r="A418" s="5" t="s">
        <v>51</v>
      </c>
      <c r="B418" s="5" t="s">
        <v>52</v>
      </c>
      <c r="C418" s="5" t="s">
        <v>84</v>
      </c>
      <c r="D418" s="5" t="s">
        <v>96</v>
      </c>
      <c r="E418" s="5" t="s">
        <v>99</v>
      </c>
      <c r="F418" s="5" t="n">
        <v>3</v>
      </c>
      <c r="G418" s="5" t="n">
        <v>3</v>
      </c>
      <c r="H418" s="5" t="n">
        <f aca="false">G418-F418</f>
        <v>0</v>
      </c>
      <c r="I418" s="5" t="n">
        <f aca="false">ABS(H418)</f>
        <v>0</v>
      </c>
      <c r="J418" s="5" t="n">
        <f aca="false">IF(I418=0,1,0)</f>
        <v>1</v>
      </c>
      <c r="K418" s="5" t="n">
        <f aca="false">IF(I418&lt;=1,1,0)</f>
        <v>1</v>
      </c>
      <c r="L418" s="5" t="s">
        <v>71</v>
      </c>
      <c r="M418" s="5" t="s">
        <v>294</v>
      </c>
    </row>
    <row r="419" customFormat="false" ht="15" hidden="false" customHeight="false" outlineLevel="0" collapsed="false">
      <c r="A419" s="5" t="s">
        <v>51</v>
      </c>
      <c r="B419" s="5" t="s">
        <v>52</v>
      </c>
      <c r="C419" s="5" t="s">
        <v>84</v>
      </c>
      <c r="D419" s="5" t="s">
        <v>96</v>
      </c>
      <c r="E419" s="5" t="s">
        <v>93</v>
      </c>
      <c r="F419" s="5" t="n">
        <v>3</v>
      </c>
      <c r="G419" s="5" t="n">
        <v>3</v>
      </c>
      <c r="H419" s="5" t="n">
        <f aca="false">G419-F419</f>
        <v>0</v>
      </c>
      <c r="I419" s="5" t="n">
        <f aca="false">ABS(H419)</f>
        <v>0</v>
      </c>
      <c r="J419" s="5" t="n">
        <f aca="false">IF(I419=0,1,0)</f>
        <v>1</v>
      </c>
      <c r="K419" s="5" t="n">
        <f aca="false">IF(I419&lt;=1,1,0)</f>
        <v>1</v>
      </c>
      <c r="L419" s="5" t="s">
        <v>71</v>
      </c>
      <c r="M419" s="5" t="s">
        <v>294</v>
      </c>
    </row>
    <row r="420" customFormat="false" ht="15" hidden="false" customHeight="false" outlineLevel="0" collapsed="false">
      <c r="A420" s="5" t="s">
        <v>51</v>
      </c>
      <c r="B420" s="5" t="s">
        <v>52</v>
      </c>
      <c r="C420" s="5" t="s">
        <v>84</v>
      </c>
      <c r="D420" s="5" t="s">
        <v>96</v>
      </c>
      <c r="E420" s="5" t="s">
        <v>95</v>
      </c>
      <c r="F420" s="5" t="n">
        <v>2</v>
      </c>
      <c r="G420" s="5" t="n">
        <v>2</v>
      </c>
      <c r="H420" s="5" t="n">
        <f aca="false">G420-F420</f>
        <v>0</v>
      </c>
      <c r="I420" s="5" t="n">
        <f aca="false">ABS(H420)</f>
        <v>0</v>
      </c>
      <c r="J420" s="5" t="n">
        <f aca="false">IF(I420=0,1,0)</f>
        <v>1</v>
      </c>
      <c r="K420" s="5" t="n">
        <f aca="false">IF(I420&lt;=1,1,0)</f>
        <v>1</v>
      </c>
      <c r="L420" s="5" t="s">
        <v>71</v>
      </c>
      <c r="M420" s="5" t="s">
        <v>294</v>
      </c>
    </row>
    <row r="421" customFormat="false" ht="15" hidden="false" customHeight="false" outlineLevel="0" collapsed="false">
      <c r="A421" s="5" t="s">
        <v>51</v>
      </c>
      <c r="B421" s="5" t="s">
        <v>52</v>
      </c>
      <c r="C421" s="5" t="s">
        <v>100</v>
      </c>
      <c r="D421" s="5" t="s">
        <v>69</v>
      </c>
      <c r="E421" s="5" t="s">
        <v>101</v>
      </c>
      <c r="F421" s="5" t="n">
        <v>0</v>
      </c>
      <c r="G421" s="5" t="n">
        <v>0</v>
      </c>
      <c r="H421" s="5" t="n">
        <f aca="false">G421-F421</f>
        <v>0</v>
      </c>
      <c r="I421" s="5" t="n">
        <f aca="false">ABS(H421)</f>
        <v>0</v>
      </c>
      <c r="J421" s="5" t="n">
        <f aca="false">IF(I421=0,1,0)</f>
        <v>1</v>
      </c>
      <c r="K421" s="5" t="n">
        <f aca="false">IF(I421&lt;=1,1,0)</f>
        <v>1</v>
      </c>
      <c r="L421" s="5" t="s">
        <v>71</v>
      </c>
      <c r="M421" s="5" t="s">
        <v>295</v>
      </c>
    </row>
    <row r="422" customFormat="false" ht="15" hidden="false" customHeight="false" outlineLevel="0" collapsed="false">
      <c r="A422" s="16" t="s">
        <v>51</v>
      </c>
      <c r="B422" s="16" t="s">
        <v>52</v>
      </c>
      <c r="C422" s="16" t="s">
        <v>100</v>
      </c>
      <c r="D422" s="16" t="s">
        <v>69</v>
      </c>
      <c r="E422" s="16" t="s">
        <v>103</v>
      </c>
      <c r="F422" s="16" t="n">
        <v>3</v>
      </c>
      <c r="G422" s="16" t="n">
        <v>2</v>
      </c>
      <c r="H422" s="16" t="n">
        <f aca="false">G422-F422</f>
        <v>-1</v>
      </c>
      <c r="I422" s="16" t="n">
        <f aca="false">ABS(H422)</f>
        <v>1</v>
      </c>
      <c r="J422" s="16" t="n">
        <f aca="false">IF(I422=0,1,0)</f>
        <v>0</v>
      </c>
      <c r="K422" s="16" t="n">
        <f aca="false">IF(I422&lt;=1,1,0)</f>
        <v>1</v>
      </c>
      <c r="L422" s="16" t="s">
        <v>76</v>
      </c>
      <c r="M422" s="16" t="s">
        <v>295</v>
      </c>
    </row>
    <row r="423" customFormat="false" ht="15" hidden="false" customHeight="false" outlineLevel="0" collapsed="false">
      <c r="A423" s="5" t="s">
        <v>51</v>
      </c>
      <c r="B423" s="5" t="s">
        <v>52</v>
      </c>
      <c r="C423" s="5" t="s">
        <v>100</v>
      </c>
      <c r="D423" s="5" t="s">
        <v>69</v>
      </c>
      <c r="E423" s="5" t="s">
        <v>265</v>
      </c>
      <c r="F423" s="5" t="n">
        <v>3</v>
      </c>
      <c r="G423" s="5" t="n">
        <v>3</v>
      </c>
      <c r="H423" s="5" t="n">
        <f aca="false">G423-F423</f>
        <v>0</v>
      </c>
      <c r="I423" s="5" t="n">
        <f aca="false">ABS(H423)</f>
        <v>0</v>
      </c>
      <c r="J423" s="5" t="n">
        <f aca="false">IF(I423=0,1,0)</f>
        <v>1</v>
      </c>
      <c r="K423" s="5" t="n">
        <f aca="false">IF(I423&lt;=1,1,0)</f>
        <v>1</v>
      </c>
      <c r="L423" s="5" t="s">
        <v>71</v>
      </c>
      <c r="M423" s="5" t="s">
        <v>295</v>
      </c>
    </row>
    <row r="424" customFormat="false" ht="15" hidden="false" customHeight="false" outlineLevel="0" collapsed="false">
      <c r="A424" s="5" t="s">
        <v>51</v>
      </c>
      <c r="B424" s="5" t="s">
        <v>52</v>
      </c>
      <c r="C424" s="5" t="s">
        <v>100</v>
      </c>
      <c r="D424" s="5" t="s">
        <v>69</v>
      </c>
      <c r="E424" s="5" t="s">
        <v>105</v>
      </c>
      <c r="F424" s="5" t="n">
        <v>3</v>
      </c>
      <c r="G424" s="5" t="n">
        <v>3</v>
      </c>
      <c r="H424" s="5" t="n">
        <f aca="false">G424-F424</f>
        <v>0</v>
      </c>
      <c r="I424" s="5" t="n">
        <f aca="false">ABS(H424)</f>
        <v>0</v>
      </c>
      <c r="J424" s="5" t="n">
        <f aca="false">IF(I424=0,1,0)</f>
        <v>1</v>
      </c>
      <c r="K424" s="5" t="n">
        <f aca="false">IF(I424&lt;=1,1,0)</f>
        <v>1</v>
      </c>
      <c r="L424" s="5" t="s">
        <v>71</v>
      </c>
      <c r="M424" s="5" t="s">
        <v>295</v>
      </c>
    </row>
    <row r="425" customFormat="false" ht="15" hidden="false" customHeight="false" outlineLevel="0" collapsed="false">
      <c r="A425" s="5" t="s">
        <v>51</v>
      </c>
      <c r="B425" s="5" t="s">
        <v>52</v>
      </c>
      <c r="C425" s="5" t="s">
        <v>100</v>
      </c>
      <c r="D425" s="5" t="s">
        <v>69</v>
      </c>
      <c r="E425" s="5" t="s">
        <v>266</v>
      </c>
      <c r="F425" s="5" t="n">
        <v>3</v>
      </c>
      <c r="G425" s="5" t="n">
        <v>3</v>
      </c>
      <c r="H425" s="5" t="n">
        <f aca="false">G425-F425</f>
        <v>0</v>
      </c>
      <c r="I425" s="5" t="n">
        <f aca="false">ABS(H425)</f>
        <v>0</v>
      </c>
      <c r="J425" s="5" t="n">
        <f aca="false">IF(I425=0,1,0)</f>
        <v>1</v>
      </c>
      <c r="K425" s="5" t="n">
        <f aca="false">IF(I425&lt;=1,1,0)</f>
        <v>1</v>
      </c>
      <c r="L425" s="5" t="s">
        <v>71</v>
      </c>
      <c r="M425" s="5" t="s">
        <v>295</v>
      </c>
    </row>
    <row r="426" customFormat="false" ht="15" hidden="false" customHeight="false" outlineLevel="0" collapsed="false">
      <c r="A426" s="5" t="s">
        <v>51</v>
      </c>
      <c r="B426" s="5" t="s">
        <v>52</v>
      </c>
      <c r="C426" s="5" t="s">
        <v>100</v>
      </c>
      <c r="D426" s="5" t="s">
        <v>107</v>
      </c>
      <c r="E426" s="5" t="s">
        <v>232</v>
      </c>
      <c r="F426" s="5" t="n">
        <v>2</v>
      </c>
      <c r="G426" s="5" t="n">
        <v>2</v>
      </c>
      <c r="H426" s="5" t="n">
        <f aca="false">G426-F426</f>
        <v>0</v>
      </c>
      <c r="I426" s="5" t="n">
        <f aca="false">ABS(H426)</f>
        <v>0</v>
      </c>
      <c r="J426" s="5" t="n">
        <f aca="false">IF(I426=0,1,0)</f>
        <v>1</v>
      </c>
      <c r="K426" s="5" t="n">
        <f aca="false">IF(I426&lt;=1,1,0)</f>
        <v>1</v>
      </c>
      <c r="L426" s="5" t="s">
        <v>71</v>
      </c>
      <c r="M426" s="5" t="s">
        <v>296</v>
      </c>
    </row>
    <row r="427" customFormat="false" ht="15" hidden="false" customHeight="false" outlineLevel="0" collapsed="false">
      <c r="A427" s="5" t="s">
        <v>51</v>
      </c>
      <c r="B427" s="5" t="s">
        <v>52</v>
      </c>
      <c r="C427" s="5" t="s">
        <v>100</v>
      </c>
      <c r="D427" s="5" t="s">
        <v>107</v>
      </c>
      <c r="E427" s="5" t="s">
        <v>234</v>
      </c>
      <c r="F427" s="5" t="n">
        <v>3</v>
      </c>
      <c r="G427" s="5" t="n">
        <v>3</v>
      </c>
      <c r="H427" s="5" t="n">
        <f aca="false">G427-F427</f>
        <v>0</v>
      </c>
      <c r="I427" s="5" t="n">
        <f aca="false">ABS(H427)</f>
        <v>0</v>
      </c>
      <c r="J427" s="5" t="n">
        <f aca="false">IF(I427=0,1,0)</f>
        <v>1</v>
      </c>
      <c r="K427" s="5" t="n">
        <f aca="false">IF(I427&lt;=1,1,0)</f>
        <v>1</v>
      </c>
      <c r="L427" s="5" t="s">
        <v>71</v>
      </c>
      <c r="M427" s="5" t="s">
        <v>296</v>
      </c>
    </row>
    <row r="428" customFormat="false" ht="15" hidden="false" customHeight="false" outlineLevel="0" collapsed="false">
      <c r="A428" s="5" t="s">
        <v>51</v>
      </c>
      <c r="B428" s="5" t="s">
        <v>52</v>
      </c>
      <c r="C428" s="5" t="s">
        <v>100</v>
      </c>
      <c r="D428" s="5" t="s">
        <v>107</v>
      </c>
      <c r="E428" s="5" t="s">
        <v>108</v>
      </c>
      <c r="F428" s="5" t="n">
        <v>1</v>
      </c>
      <c r="G428" s="5" t="n">
        <v>1</v>
      </c>
      <c r="H428" s="5" t="n">
        <f aca="false">G428-F428</f>
        <v>0</v>
      </c>
      <c r="I428" s="5" t="n">
        <f aca="false">ABS(H428)</f>
        <v>0</v>
      </c>
      <c r="J428" s="5" t="n">
        <f aca="false">IF(I428=0,1,0)</f>
        <v>1</v>
      </c>
      <c r="K428" s="5" t="n">
        <f aca="false">IF(I428&lt;=1,1,0)</f>
        <v>1</v>
      </c>
      <c r="L428" s="5" t="s">
        <v>71</v>
      </c>
      <c r="M428" s="5" t="s">
        <v>296</v>
      </c>
    </row>
    <row r="429" customFormat="false" ht="15" hidden="false" customHeight="false" outlineLevel="0" collapsed="false">
      <c r="A429" s="16" t="s">
        <v>51</v>
      </c>
      <c r="B429" s="16" t="s">
        <v>52</v>
      </c>
      <c r="C429" s="16" t="s">
        <v>100</v>
      </c>
      <c r="D429" s="16" t="s">
        <v>107</v>
      </c>
      <c r="E429" s="16" t="s">
        <v>235</v>
      </c>
      <c r="F429" s="16" t="n">
        <v>1</v>
      </c>
      <c r="G429" s="16" t="n">
        <v>2</v>
      </c>
      <c r="H429" s="16" t="n">
        <f aca="false">G429-F429</f>
        <v>1</v>
      </c>
      <c r="I429" s="16" t="n">
        <f aca="false">ABS(H429)</f>
        <v>1</v>
      </c>
      <c r="J429" s="16" t="n">
        <f aca="false">IF(I429=0,1,0)</f>
        <v>0</v>
      </c>
      <c r="K429" s="16" t="n">
        <f aca="false">IF(I429&lt;=1,1,0)</f>
        <v>1</v>
      </c>
      <c r="L429" s="16" t="s">
        <v>76</v>
      </c>
      <c r="M429" s="16" t="s">
        <v>296</v>
      </c>
    </row>
    <row r="430" customFormat="false" ht="15" hidden="false" customHeight="false" outlineLevel="0" collapsed="false">
      <c r="A430" s="16" t="s">
        <v>51</v>
      </c>
      <c r="B430" s="16" t="s">
        <v>52</v>
      </c>
      <c r="C430" s="16" t="s">
        <v>100</v>
      </c>
      <c r="D430" s="16" t="s">
        <v>107</v>
      </c>
      <c r="E430" s="16" t="s">
        <v>236</v>
      </c>
      <c r="F430" s="16" t="n">
        <v>2</v>
      </c>
      <c r="G430" s="16" t="n">
        <v>3</v>
      </c>
      <c r="H430" s="16" t="n">
        <f aca="false">G430-F430</f>
        <v>1</v>
      </c>
      <c r="I430" s="16" t="n">
        <f aca="false">ABS(H430)</f>
        <v>1</v>
      </c>
      <c r="J430" s="16" t="n">
        <f aca="false">IF(I430=0,1,0)</f>
        <v>0</v>
      </c>
      <c r="K430" s="16" t="n">
        <f aca="false">IF(I430&lt;=1,1,0)</f>
        <v>1</v>
      </c>
      <c r="L430" s="16" t="s">
        <v>76</v>
      </c>
      <c r="M430" s="16" t="s">
        <v>296</v>
      </c>
    </row>
    <row r="431" customFormat="false" ht="15" hidden="false" customHeight="false" outlineLevel="0" collapsed="false">
      <c r="A431" s="16" t="s">
        <v>51</v>
      </c>
      <c r="B431" s="16" t="s">
        <v>52</v>
      </c>
      <c r="C431" s="16" t="s">
        <v>100</v>
      </c>
      <c r="D431" s="16" t="s">
        <v>107</v>
      </c>
      <c r="E431" s="16" t="s">
        <v>110</v>
      </c>
      <c r="F431" s="16" t="n">
        <v>1</v>
      </c>
      <c r="G431" s="16" t="n">
        <v>2</v>
      </c>
      <c r="H431" s="16" t="n">
        <f aca="false">G431-F431</f>
        <v>1</v>
      </c>
      <c r="I431" s="16" t="n">
        <f aca="false">ABS(H431)</f>
        <v>1</v>
      </c>
      <c r="J431" s="16" t="n">
        <f aca="false">IF(I431=0,1,0)</f>
        <v>0</v>
      </c>
      <c r="K431" s="16" t="n">
        <f aca="false">IF(I431&lt;=1,1,0)</f>
        <v>1</v>
      </c>
      <c r="L431" s="16" t="s">
        <v>76</v>
      </c>
      <c r="M431" s="16" t="s">
        <v>296</v>
      </c>
    </row>
    <row r="432" customFormat="false" ht="15" hidden="false" customHeight="false" outlineLevel="0" collapsed="false">
      <c r="A432" s="16" t="s">
        <v>51</v>
      </c>
      <c r="B432" s="16" t="s">
        <v>52</v>
      </c>
      <c r="C432" s="16" t="s">
        <v>100</v>
      </c>
      <c r="D432" s="16" t="s">
        <v>107</v>
      </c>
      <c r="E432" s="16" t="s">
        <v>238</v>
      </c>
      <c r="F432" s="16" t="n">
        <v>1</v>
      </c>
      <c r="G432" s="16" t="n">
        <v>2</v>
      </c>
      <c r="H432" s="16" t="n">
        <f aca="false">G432-F432</f>
        <v>1</v>
      </c>
      <c r="I432" s="16" t="n">
        <f aca="false">ABS(H432)</f>
        <v>1</v>
      </c>
      <c r="J432" s="16" t="n">
        <f aca="false">IF(I432=0,1,0)</f>
        <v>0</v>
      </c>
      <c r="K432" s="16" t="n">
        <f aca="false">IF(I432&lt;=1,1,0)</f>
        <v>1</v>
      </c>
      <c r="L432" s="16" t="s">
        <v>76</v>
      </c>
      <c r="M432" s="16" t="s">
        <v>296</v>
      </c>
    </row>
    <row r="433" customFormat="false" ht="15" hidden="false" customHeight="false" outlineLevel="0" collapsed="false">
      <c r="A433" s="16" t="s">
        <v>51</v>
      </c>
      <c r="B433" s="16" t="s">
        <v>52</v>
      </c>
      <c r="C433" s="16" t="s">
        <v>100</v>
      </c>
      <c r="D433" s="16" t="s">
        <v>107</v>
      </c>
      <c r="E433" s="16" t="s">
        <v>297</v>
      </c>
      <c r="F433" s="16" t="n">
        <v>0</v>
      </c>
      <c r="G433" s="16" t="n">
        <v>2</v>
      </c>
      <c r="H433" s="16" t="n">
        <f aca="false">G433-F433</f>
        <v>2</v>
      </c>
      <c r="I433" s="16" t="n">
        <f aca="false">ABS(H433)</f>
        <v>2</v>
      </c>
      <c r="J433" s="16" t="n">
        <f aca="false">IF(I433=0,1,0)</f>
        <v>0</v>
      </c>
      <c r="K433" s="16" t="n">
        <f aca="false">IF(I433&lt;=1,1,0)</f>
        <v>0</v>
      </c>
      <c r="L433" s="16" t="s">
        <v>76</v>
      </c>
      <c r="M433" s="16" t="s">
        <v>296</v>
      </c>
    </row>
    <row r="434" customFormat="false" ht="15" hidden="false" customHeight="false" outlineLevel="0" collapsed="false">
      <c r="A434" s="16" t="s">
        <v>51</v>
      </c>
      <c r="B434" s="16" t="s">
        <v>52</v>
      </c>
      <c r="C434" s="16" t="s">
        <v>100</v>
      </c>
      <c r="D434" s="16" t="s">
        <v>107</v>
      </c>
      <c r="E434" s="16" t="s">
        <v>112</v>
      </c>
      <c r="F434" s="16" t="n">
        <v>2</v>
      </c>
      <c r="G434" s="16" t="n">
        <v>3</v>
      </c>
      <c r="H434" s="16" t="n">
        <f aca="false">G434-F434</f>
        <v>1</v>
      </c>
      <c r="I434" s="16" t="n">
        <f aca="false">ABS(H434)</f>
        <v>1</v>
      </c>
      <c r="J434" s="16" t="n">
        <f aca="false">IF(I434=0,1,0)</f>
        <v>0</v>
      </c>
      <c r="K434" s="16" t="n">
        <f aca="false">IF(I434&lt;=1,1,0)</f>
        <v>1</v>
      </c>
      <c r="L434" s="16" t="s">
        <v>76</v>
      </c>
      <c r="M434" s="16" t="s">
        <v>296</v>
      </c>
    </row>
    <row r="435" customFormat="false" ht="15" hidden="false" customHeight="false" outlineLevel="0" collapsed="false">
      <c r="A435" s="5" t="s">
        <v>51</v>
      </c>
      <c r="B435" s="5" t="s">
        <v>52</v>
      </c>
      <c r="C435" s="5" t="s">
        <v>100</v>
      </c>
      <c r="D435" s="5" t="s">
        <v>107</v>
      </c>
      <c r="E435" s="5" t="s">
        <v>240</v>
      </c>
      <c r="F435" s="5" t="n">
        <v>3</v>
      </c>
      <c r="G435" s="5" t="n">
        <v>3</v>
      </c>
      <c r="H435" s="5" t="n">
        <f aca="false">G435-F435</f>
        <v>0</v>
      </c>
      <c r="I435" s="5" t="n">
        <f aca="false">ABS(H435)</f>
        <v>0</v>
      </c>
      <c r="J435" s="5" t="n">
        <f aca="false">IF(I435=0,1,0)</f>
        <v>1</v>
      </c>
      <c r="K435" s="5" t="n">
        <f aca="false">IF(I435&lt;=1,1,0)</f>
        <v>1</v>
      </c>
      <c r="L435" s="5" t="s">
        <v>71</v>
      </c>
      <c r="M435" s="5" t="s">
        <v>296</v>
      </c>
    </row>
    <row r="436" customFormat="false" ht="15" hidden="false" customHeight="false" outlineLevel="0" collapsed="false">
      <c r="A436" s="16" t="s">
        <v>51</v>
      </c>
      <c r="B436" s="16" t="s">
        <v>52</v>
      </c>
      <c r="C436" s="16" t="s">
        <v>100</v>
      </c>
      <c r="D436" s="16" t="s">
        <v>114</v>
      </c>
      <c r="E436" s="16" t="s">
        <v>232</v>
      </c>
      <c r="F436" s="16" t="n">
        <v>0</v>
      </c>
      <c r="G436" s="16" t="n">
        <v>1</v>
      </c>
      <c r="H436" s="16" t="n">
        <f aca="false">G436-F436</f>
        <v>1</v>
      </c>
      <c r="I436" s="16" t="n">
        <f aca="false">ABS(H436)</f>
        <v>1</v>
      </c>
      <c r="J436" s="16" t="n">
        <f aca="false">IF(I436=0,1,0)</f>
        <v>0</v>
      </c>
      <c r="K436" s="16" t="n">
        <f aca="false">IF(I436&lt;=1,1,0)</f>
        <v>1</v>
      </c>
      <c r="L436" s="16" t="s">
        <v>76</v>
      </c>
      <c r="M436" s="16" t="s">
        <v>298</v>
      </c>
    </row>
    <row r="437" customFormat="false" ht="15" hidden="false" customHeight="false" outlineLevel="0" collapsed="false">
      <c r="A437" s="16" t="s">
        <v>51</v>
      </c>
      <c r="B437" s="16" t="s">
        <v>52</v>
      </c>
      <c r="C437" s="16" t="s">
        <v>100</v>
      </c>
      <c r="D437" s="16" t="s">
        <v>114</v>
      </c>
      <c r="E437" s="16" t="s">
        <v>234</v>
      </c>
      <c r="F437" s="16" t="n">
        <v>0</v>
      </c>
      <c r="G437" s="16" t="n">
        <v>3</v>
      </c>
      <c r="H437" s="16" t="n">
        <f aca="false">G437-F437</f>
        <v>3</v>
      </c>
      <c r="I437" s="16" t="n">
        <f aca="false">ABS(H437)</f>
        <v>3</v>
      </c>
      <c r="J437" s="16" t="n">
        <f aca="false">IF(I437=0,1,0)</f>
        <v>0</v>
      </c>
      <c r="K437" s="16" t="n">
        <f aca="false">IF(I437&lt;=1,1,0)</f>
        <v>0</v>
      </c>
      <c r="L437" s="16" t="s">
        <v>76</v>
      </c>
      <c r="M437" s="16" t="s">
        <v>298</v>
      </c>
    </row>
    <row r="438" customFormat="false" ht="15" hidden="false" customHeight="false" outlineLevel="0" collapsed="false">
      <c r="A438" s="16" t="s">
        <v>51</v>
      </c>
      <c r="B438" s="16" t="s">
        <v>52</v>
      </c>
      <c r="C438" s="16" t="s">
        <v>100</v>
      </c>
      <c r="D438" s="16" t="s">
        <v>114</v>
      </c>
      <c r="E438" s="16" t="s">
        <v>108</v>
      </c>
      <c r="F438" s="16" t="n">
        <v>1</v>
      </c>
      <c r="G438" s="16" t="n">
        <v>0</v>
      </c>
      <c r="H438" s="16" t="n">
        <f aca="false">G438-F438</f>
        <v>-1</v>
      </c>
      <c r="I438" s="16" t="n">
        <f aca="false">ABS(H438)</f>
        <v>1</v>
      </c>
      <c r="J438" s="16" t="n">
        <f aca="false">IF(I438=0,1,0)</f>
        <v>0</v>
      </c>
      <c r="K438" s="16" t="n">
        <f aca="false">IF(I438&lt;=1,1,0)</f>
        <v>1</v>
      </c>
      <c r="L438" s="16" t="s">
        <v>76</v>
      </c>
      <c r="M438" s="16" t="s">
        <v>298</v>
      </c>
    </row>
    <row r="439" customFormat="false" ht="15" hidden="false" customHeight="false" outlineLevel="0" collapsed="false">
      <c r="A439" s="5" t="s">
        <v>51</v>
      </c>
      <c r="B439" s="5" t="s">
        <v>52</v>
      </c>
      <c r="C439" s="5" t="s">
        <v>100</v>
      </c>
      <c r="D439" s="5" t="s">
        <v>114</v>
      </c>
      <c r="E439" s="5" t="s">
        <v>235</v>
      </c>
      <c r="F439" s="5" t="n">
        <v>1</v>
      </c>
      <c r="G439" s="5" t="n">
        <v>1</v>
      </c>
      <c r="H439" s="5" t="n">
        <f aca="false">G439-F439</f>
        <v>0</v>
      </c>
      <c r="I439" s="5" t="n">
        <f aca="false">ABS(H439)</f>
        <v>0</v>
      </c>
      <c r="J439" s="5" t="n">
        <f aca="false">IF(I439=0,1,0)</f>
        <v>1</v>
      </c>
      <c r="K439" s="5" t="n">
        <f aca="false">IF(I439&lt;=1,1,0)</f>
        <v>1</v>
      </c>
      <c r="L439" s="5" t="s">
        <v>71</v>
      </c>
      <c r="M439" s="5" t="s">
        <v>298</v>
      </c>
    </row>
    <row r="440" customFormat="false" ht="15" hidden="false" customHeight="false" outlineLevel="0" collapsed="false">
      <c r="A440" s="5" t="s">
        <v>51</v>
      </c>
      <c r="B440" s="5" t="s">
        <v>52</v>
      </c>
      <c r="C440" s="5" t="s">
        <v>100</v>
      </c>
      <c r="D440" s="5" t="s">
        <v>114</v>
      </c>
      <c r="E440" s="5" t="s">
        <v>236</v>
      </c>
      <c r="F440" s="5" t="n">
        <v>3</v>
      </c>
      <c r="G440" s="5" t="n">
        <v>3</v>
      </c>
      <c r="H440" s="5" t="n">
        <f aca="false">G440-F440</f>
        <v>0</v>
      </c>
      <c r="I440" s="5" t="n">
        <f aca="false">ABS(H440)</f>
        <v>0</v>
      </c>
      <c r="J440" s="5" t="n">
        <f aca="false">IF(I440=0,1,0)</f>
        <v>1</v>
      </c>
      <c r="K440" s="5" t="n">
        <f aca="false">IF(I440&lt;=1,1,0)</f>
        <v>1</v>
      </c>
      <c r="L440" s="5" t="s">
        <v>71</v>
      </c>
      <c r="M440" s="5" t="s">
        <v>298</v>
      </c>
    </row>
    <row r="441" customFormat="false" ht="15" hidden="false" customHeight="false" outlineLevel="0" collapsed="false">
      <c r="A441" s="5" t="s">
        <v>51</v>
      </c>
      <c r="B441" s="5" t="s">
        <v>52</v>
      </c>
      <c r="C441" s="5" t="s">
        <v>100</v>
      </c>
      <c r="D441" s="5" t="s">
        <v>114</v>
      </c>
      <c r="E441" s="5" t="s">
        <v>110</v>
      </c>
      <c r="F441" s="5" t="n">
        <v>1</v>
      </c>
      <c r="G441" s="5" t="n">
        <v>1</v>
      </c>
      <c r="H441" s="5" t="n">
        <f aca="false">G441-F441</f>
        <v>0</v>
      </c>
      <c r="I441" s="5" t="n">
        <f aca="false">ABS(H441)</f>
        <v>0</v>
      </c>
      <c r="J441" s="5" t="n">
        <f aca="false">IF(I441=0,1,0)</f>
        <v>1</v>
      </c>
      <c r="K441" s="5" t="n">
        <f aca="false">IF(I441&lt;=1,1,0)</f>
        <v>1</v>
      </c>
      <c r="L441" s="5" t="s">
        <v>71</v>
      </c>
      <c r="M441" s="5" t="s">
        <v>298</v>
      </c>
    </row>
    <row r="442" customFormat="false" ht="15" hidden="false" customHeight="false" outlineLevel="0" collapsed="false">
      <c r="A442" s="5" t="s">
        <v>51</v>
      </c>
      <c r="B442" s="5" t="s">
        <v>52</v>
      </c>
      <c r="C442" s="5" t="s">
        <v>100</v>
      </c>
      <c r="D442" s="5" t="s">
        <v>114</v>
      </c>
      <c r="E442" s="5" t="s">
        <v>238</v>
      </c>
      <c r="F442" s="5" t="n">
        <v>3</v>
      </c>
      <c r="G442" s="5" t="n">
        <v>3</v>
      </c>
      <c r="H442" s="5" t="n">
        <f aca="false">G442-F442</f>
        <v>0</v>
      </c>
      <c r="I442" s="5" t="n">
        <f aca="false">ABS(H442)</f>
        <v>0</v>
      </c>
      <c r="J442" s="5" t="n">
        <f aca="false">IF(I442=0,1,0)</f>
        <v>1</v>
      </c>
      <c r="K442" s="5" t="n">
        <f aca="false">IF(I442&lt;=1,1,0)</f>
        <v>1</v>
      </c>
      <c r="L442" s="5" t="s">
        <v>71</v>
      </c>
      <c r="M442" s="5" t="s">
        <v>298</v>
      </c>
    </row>
    <row r="443" customFormat="false" ht="15" hidden="false" customHeight="false" outlineLevel="0" collapsed="false">
      <c r="A443" s="16" t="s">
        <v>51</v>
      </c>
      <c r="B443" s="16" t="s">
        <v>52</v>
      </c>
      <c r="C443" s="16" t="s">
        <v>100</v>
      </c>
      <c r="D443" s="16" t="s">
        <v>114</v>
      </c>
      <c r="E443" s="16" t="s">
        <v>297</v>
      </c>
      <c r="F443" s="16" t="n">
        <v>0</v>
      </c>
      <c r="G443" s="16" t="n">
        <v>2</v>
      </c>
      <c r="H443" s="16" t="n">
        <f aca="false">G443-F443</f>
        <v>2</v>
      </c>
      <c r="I443" s="16" t="n">
        <f aca="false">ABS(H443)</f>
        <v>2</v>
      </c>
      <c r="J443" s="16" t="n">
        <f aca="false">IF(I443=0,1,0)</f>
        <v>0</v>
      </c>
      <c r="K443" s="16" t="n">
        <f aca="false">IF(I443&lt;=1,1,0)</f>
        <v>0</v>
      </c>
      <c r="L443" s="16" t="s">
        <v>76</v>
      </c>
      <c r="M443" s="16" t="s">
        <v>298</v>
      </c>
    </row>
    <row r="444" customFormat="false" ht="15" hidden="false" customHeight="false" outlineLevel="0" collapsed="false">
      <c r="A444" s="16" t="s">
        <v>51</v>
      </c>
      <c r="B444" s="16" t="s">
        <v>52</v>
      </c>
      <c r="C444" s="16" t="s">
        <v>100</v>
      </c>
      <c r="D444" s="16" t="s">
        <v>114</v>
      </c>
      <c r="E444" s="16" t="s">
        <v>112</v>
      </c>
      <c r="F444" s="16" t="n">
        <v>0</v>
      </c>
      <c r="G444" s="16" t="n">
        <v>2</v>
      </c>
      <c r="H444" s="16" t="n">
        <f aca="false">G444-F444</f>
        <v>2</v>
      </c>
      <c r="I444" s="16" t="n">
        <f aca="false">ABS(H444)</f>
        <v>2</v>
      </c>
      <c r="J444" s="16" t="n">
        <f aca="false">IF(I444=0,1,0)</f>
        <v>0</v>
      </c>
      <c r="K444" s="16" t="n">
        <f aca="false">IF(I444&lt;=1,1,0)</f>
        <v>0</v>
      </c>
      <c r="L444" s="16" t="s">
        <v>76</v>
      </c>
      <c r="M444" s="16" t="s">
        <v>298</v>
      </c>
    </row>
    <row r="445" customFormat="false" ht="15" hidden="false" customHeight="false" outlineLevel="0" collapsed="false">
      <c r="A445" s="5" t="s">
        <v>51</v>
      </c>
      <c r="B445" s="5" t="s">
        <v>52</v>
      </c>
      <c r="C445" s="5" t="s">
        <v>100</v>
      </c>
      <c r="D445" s="5" t="s">
        <v>114</v>
      </c>
      <c r="E445" s="5" t="s">
        <v>240</v>
      </c>
      <c r="F445" s="5" t="n">
        <v>0</v>
      </c>
      <c r="G445" s="5" t="n">
        <v>0</v>
      </c>
      <c r="H445" s="5" t="n">
        <f aca="false">G445-F445</f>
        <v>0</v>
      </c>
      <c r="I445" s="5" t="n">
        <f aca="false">ABS(H445)</f>
        <v>0</v>
      </c>
      <c r="J445" s="5" t="n">
        <f aca="false">IF(I445=0,1,0)</f>
        <v>1</v>
      </c>
      <c r="K445" s="5" t="n">
        <f aca="false">IF(I445&lt;=1,1,0)</f>
        <v>1</v>
      </c>
      <c r="L445" s="5" t="s">
        <v>71</v>
      </c>
      <c r="M445" s="5" t="s">
        <v>298</v>
      </c>
    </row>
    <row r="446" customFormat="false" ht="15" hidden="false" customHeight="false" outlineLevel="0" collapsed="false">
      <c r="A446" s="16" t="s">
        <v>51</v>
      </c>
      <c r="B446" s="16" t="s">
        <v>52</v>
      </c>
      <c r="C446" s="16" t="s">
        <v>116</v>
      </c>
      <c r="D446" s="16" t="s">
        <v>69</v>
      </c>
      <c r="E446" s="16" t="s">
        <v>117</v>
      </c>
      <c r="F446" s="16" t="n">
        <v>2</v>
      </c>
      <c r="G446" s="16" t="n">
        <v>3</v>
      </c>
      <c r="H446" s="16" t="n">
        <f aca="false">G446-F446</f>
        <v>1</v>
      </c>
      <c r="I446" s="16" t="n">
        <f aca="false">ABS(H446)</f>
        <v>1</v>
      </c>
      <c r="J446" s="16" t="n">
        <f aca="false">IF(I446=0,1,0)</f>
        <v>0</v>
      </c>
      <c r="K446" s="16" t="n">
        <f aca="false">IF(I446&lt;=1,1,0)</f>
        <v>1</v>
      </c>
      <c r="L446" s="16" t="s">
        <v>76</v>
      </c>
      <c r="M446" s="16" t="s">
        <v>299</v>
      </c>
    </row>
    <row r="447" customFormat="false" ht="15" hidden="false" customHeight="false" outlineLevel="0" collapsed="false">
      <c r="A447" s="5" t="s">
        <v>51</v>
      </c>
      <c r="B447" s="5" t="s">
        <v>52</v>
      </c>
      <c r="C447" s="5" t="s">
        <v>116</v>
      </c>
      <c r="D447" s="5" t="s">
        <v>69</v>
      </c>
      <c r="E447" s="5" t="s">
        <v>119</v>
      </c>
      <c r="F447" s="5" t="n">
        <v>3</v>
      </c>
      <c r="G447" s="5" t="n">
        <v>3</v>
      </c>
      <c r="H447" s="5" t="n">
        <f aca="false">G447-F447</f>
        <v>0</v>
      </c>
      <c r="I447" s="5" t="n">
        <f aca="false">ABS(H447)</f>
        <v>0</v>
      </c>
      <c r="J447" s="5" t="n">
        <f aca="false">IF(I447=0,1,0)</f>
        <v>1</v>
      </c>
      <c r="K447" s="5" t="n">
        <f aca="false">IF(I447&lt;=1,1,0)</f>
        <v>1</v>
      </c>
      <c r="L447" s="5" t="s">
        <v>71</v>
      </c>
      <c r="M447" s="5" t="s">
        <v>299</v>
      </c>
    </row>
    <row r="448" customFormat="false" ht="15" hidden="false" customHeight="false" outlineLevel="0" collapsed="false">
      <c r="A448" s="16" t="s">
        <v>51</v>
      </c>
      <c r="B448" s="16" t="s">
        <v>52</v>
      </c>
      <c r="C448" s="16" t="s">
        <v>116</v>
      </c>
      <c r="D448" s="16" t="s">
        <v>69</v>
      </c>
      <c r="E448" s="16" t="s">
        <v>120</v>
      </c>
      <c r="F448" s="16" t="n">
        <v>3</v>
      </c>
      <c r="G448" s="16" t="n">
        <v>2</v>
      </c>
      <c r="H448" s="16" t="n">
        <f aca="false">G448-F448</f>
        <v>-1</v>
      </c>
      <c r="I448" s="16" t="n">
        <f aca="false">ABS(H448)</f>
        <v>1</v>
      </c>
      <c r="J448" s="16" t="n">
        <f aca="false">IF(I448=0,1,0)</f>
        <v>0</v>
      </c>
      <c r="K448" s="16" t="n">
        <f aca="false">IF(I448&lt;=1,1,0)</f>
        <v>1</v>
      </c>
      <c r="L448" s="16" t="s">
        <v>76</v>
      </c>
      <c r="M448" s="16" t="s">
        <v>299</v>
      </c>
    </row>
    <row r="449" customFormat="false" ht="15" hidden="false" customHeight="false" outlineLevel="0" collapsed="false">
      <c r="A449" s="5" t="s">
        <v>51</v>
      </c>
      <c r="B449" s="5" t="s">
        <v>52</v>
      </c>
      <c r="C449" s="5" t="s">
        <v>116</v>
      </c>
      <c r="D449" s="5" t="s">
        <v>69</v>
      </c>
      <c r="E449" s="5" t="s">
        <v>122</v>
      </c>
      <c r="F449" s="5" t="n">
        <v>2</v>
      </c>
      <c r="G449" s="5" t="n">
        <v>2</v>
      </c>
      <c r="H449" s="5" t="n">
        <f aca="false">G449-F449</f>
        <v>0</v>
      </c>
      <c r="I449" s="5" t="n">
        <f aca="false">ABS(H449)</f>
        <v>0</v>
      </c>
      <c r="J449" s="5" t="n">
        <f aca="false">IF(I449=0,1,0)</f>
        <v>1</v>
      </c>
      <c r="K449" s="5" t="n">
        <f aca="false">IF(I449&lt;=1,1,0)</f>
        <v>1</v>
      </c>
      <c r="L449" s="5" t="s">
        <v>71</v>
      </c>
      <c r="M449" s="5" t="s">
        <v>299</v>
      </c>
    </row>
    <row r="450" customFormat="false" ht="15" hidden="false" customHeight="false" outlineLevel="0" collapsed="false">
      <c r="A450" s="5" t="s">
        <v>51</v>
      </c>
      <c r="B450" s="5" t="s">
        <v>52</v>
      </c>
      <c r="C450" s="5" t="s">
        <v>116</v>
      </c>
      <c r="D450" s="5" t="s">
        <v>69</v>
      </c>
      <c r="E450" s="5" t="s">
        <v>300</v>
      </c>
      <c r="F450" s="5" t="n">
        <v>3</v>
      </c>
      <c r="G450" s="5" t="n">
        <v>3</v>
      </c>
      <c r="H450" s="5" t="n">
        <f aca="false">G450-F450</f>
        <v>0</v>
      </c>
      <c r="I450" s="5" t="n">
        <f aca="false">ABS(H450)</f>
        <v>0</v>
      </c>
      <c r="J450" s="5" t="n">
        <f aca="false">IF(I450=0,1,0)</f>
        <v>1</v>
      </c>
      <c r="K450" s="5" t="n">
        <f aca="false">IF(I450&lt;=1,1,0)</f>
        <v>1</v>
      </c>
      <c r="L450" s="5" t="s">
        <v>71</v>
      </c>
      <c r="M450" s="5" t="s">
        <v>299</v>
      </c>
    </row>
    <row r="451" customFormat="false" ht="15" hidden="false" customHeight="false" outlineLevel="0" collapsed="false">
      <c r="A451" s="16" t="s">
        <v>51</v>
      </c>
      <c r="B451" s="16" t="s">
        <v>52</v>
      </c>
      <c r="C451" s="16" t="s">
        <v>116</v>
      </c>
      <c r="D451" s="16" t="s">
        <v>114</v>
      </c>
      <c r="E451" s="16" t="s">
        <v>123</v>
      </c>
      <c r="F451" s="16" t="n">
        <v>1</v>
      </c>
      <c r="G451" s="16" t="n">
        <v>2</v>
      </c>
      <c r="H451" s="16" t="n">
        <f aca="false">G451-F451</f>
        <v>1</v>
      </c>
      <c r="I451" s="16" t="n">
        <f aca="false">ABS(H451)</f>
        <v>1</v>
      </c>
      <c r="J451" s="16" t="n">
        <f aca="false">IF(I451=0,1,0)</f>
        <v>0</v>
      </c>
      <c r="K451" s="16" t="n">
        <f aca="false">IF(I451&lt;=1,1,0)</f>
        <v>1</v>
      </c>
      <c r="L451" s="16" t="s">
        <v>76</v>
      </c>
      <c r="M451" s="16" t="s">
        <v>301</v>
      </c>
    </row>
    <row r="452" customFormat="false" ht="15" hidden="false" customHeight="false" outlineLevel="0" collapsed="false">
      <c r="A452" s="16" t="s">
        <v>51</v>
      </c>
      <c r="B452" s="16" t="s">
        <v>52</v>
      </c>
      <c r="C452" s="16" t="s">
        <v>116</v>
      </c>
      <c r="D452" s="16" t="s">
        <v>114</v>
      </c>
      <c r="E452" s="16" t="s">
        <v>125</v>
      </c>
      <c r="F452" s="16" t="n">
        <v>0</v>
      </c>
      <c r="G452" s="16" t="n">
        <v>2</v>
      </c>
      <c r="H452" s="16" t="n">
        <f aca="false">G452-F452</f>
        <v>2</v>
      </c>
      <c r="I452" s="16" t="n">
        <f aca="false">ABS(H452)</f>
        <v>2</v>
      </c>
      <c r="J452" s="16" t="n">
        <f aca="false">IF(I452=0,1,0)</f>
        <v>0</v>
      </c>
      <c r="K452" s="16" t="n">
        <f aca="false">IF(I452&lt;=1,1,0)</f>
        <v>0</v>
      </c>
      <c r="L452" s="16" t="s">
        <v>76</v>
      </c>
      <c r="M452" s="16" t="s">
        <v>301</v>
      </c>
    </row>
    <row r="453" customFormat="false" ht="15" hidden="false" customHeight="false" outlineLevel="0" collapsed="false">
      <c r="A453" s="5" t="s">
        <v>51</v>
      </c>
      <c r="B453" s="5" t="s">
        <v>52</v>
      </c>
      <c r="C453" s="5" t="s">
        <v>116</v>
      </c>
      <c r="D453" s="5" t="s">
        <v>114</v>
      </c>
      <c r="E453" s="5" t="s">
        <v>126</v>
      </c>
      <c r="F453" s="5" t="n">
        <v>0</v>
      </c>
      <c r="G453" s="5" t="n">
        <v>0</v>
      </c>
      <c r="H453" s="5" t="n">
        <f aca="false">G453-F453</f>
        <v>0</v>
      </c>
      <c r="I453" s="5" t="n">
        <f aca="false">ABS(H453)</f>
        <v>0</v>
      </c>
      <c r="J453" s="5" t="n">
        <f aca="false">IF(I453=0,1,0)</f>
        <v>1</v>
      </c>
      <c r="K453" s="5" t="n">
        <f aca="false">IF(I453&lt;=1,1,0)</f>
        <v>1</v>
      </c>
      <c r="L453" s="5" t="s">
        <v>71</v>
      </c>
      <c r="M453" s="5" t="s">
        <v>301</v>
      </c>
    </row>
    <row r="454" customFormat="false" ht="15" hidden="false" customHeight="false" outlineLevel="0" collapsed="false">
      <c r="A454" s="16" t="s">
        <v>51</v>
      </c>
      <c r="B454" s="16" t="s">
        <v>52</v>
      </c>
      <c r="C454" s="16" t="s">
        <v>116</v>
      </c>
      <c r="D454" s="16" t="s">
        <v>114</v>
      </c>
      <c r="E454" s="16" t="s">
        <v>127</v>
      </c>
      <c r="F454" s="16" t="n">
        <v>1</v>
      </c>
      <c r="G454" s="16" t="n">
        <v>2</v>
      </c>
      <c r="H454" s="16" t="n">
        <f aca="false">G454-F454</f>
        <v>1</v>
      </c>
      <c r="I454" s="16" t="n">
        <f aca="false">ABS(H454)</f>
        <v>1</v>
      </c>
      <c r="J454" s="16" t="n">
        <f aca="false">IF(I454=0,1,0)</f>
        <v>0</v>
      </c>
      <c r="K454" s="16" t="n">
        <f aca="false">IF(I454&lt;=1,1,0)</f>
        <v>1</v>
      </c>
      <c r="L454" s="16" t="s">
        <v>76</v>
      </c>
      <c r="M454" s="16" t="s">
        <v>301</v>
      </c>
    </row>
    <row r="455" customFormat="false" ht="15" hidden="false" customHeight="false" outlineLevel="0" collapsed="false">
      <c r="A455" s="16" t="s">
        <v>51</v>
      </c>
      <c r="B455" s="16" t="s">
        <v>52</v>
      </c>
      <c r="C455" s="16" t="s">
        <v>116</v>
      </c>
      <c r="D455" s="16" t="s">
        <v>114</v>
      </c>
      <c r="E455" s="16" t="s">
        <v>128</v>
      </c>
      <c r="F455" s="16" t="n">
        <v>2</v>
      </c>
      <c r="G455" s="16" t="n">
        <v>3</v>
      </c>
      <c r="H455" s="16" t="n">
        <f aca="false">G455-F455</f>
        <v>1</v>
      </c>
      <c r="I455" s="16" t="n">
        <f aca="false">ABS(H455)</f>
        <v>1</v>
      </c>
      <c r="J455" s="16" t="n">
        <f aca="false">IF(I455=0,1,0)</f>
        <v>0</v>
      </c>
      <c r="K455" s="16" t="n">
        <f aca="false">IF(I455&lt;=1,1,0)</f>
        <v>1</v>
      </c>
      <c r="L455" s="16" t="s">
        <v>76</v>
      </c>
      <c r="M455" s="16" t="s">
        <v>301</v>
      </c>
    </row>
    <row r="456" customFormat="false" ht="15" hidden="false" customHeight="false" outlineLevel="0" collapsed="false">
      <c r="A456" s="16" t="s">
        <v>51</v>
      </c>
      <c r="B456" s="16" t="s">
        <v>52</v>
      </c>
      <c r="C456" s="16" t="s">
        <v>116</v>
      </c>
      <c r="D456" s="16" t="s">
        <v>129</v>
      </c>
      <c r="E456" s="16" t="s">
        <v>130</v>
      </c>
      <c r="F456" s="16" t="n">
        <v>1</v>
      </c>
      <c r="G456" s="16" t="n">
        <v>2</v>
      </c>
      <c r="H456" s="16" t="n">
        <f aca="false">G456-F456</f>
        <v>1</v>
      </c>
      <c r="I456" s="16" t="n">
        <f aca="false">ABS(H456)</f>
        <v>1</v>
      </c>
      <c r="J456" s="16" t="n">
        <f aca="false">IF(I456=0,1,0)</f>
        <v>0</v>
      </c>
      <c r="K456" s="16" t="n">
        <f aca="false">IF(I456&lt;=1,1,0)</f>
        <v>1</v>
      </c>
      <c r="L456" s="16" t="s">
        <v>76</v>
      </c>
      <c r="M456" s="16" t="s">
        <v>302</v>
      </c>
    </row>
    <row r="457" customFormat="false" ht="15" hidden="false" customHeight="false" outlineLevel="0" collapsed="false">
      <c r="A457" s="5" t="s">
        <v>51</v>
      </c>
      <c r="B457" s="5" t="s">
        <v>52</v>
      </c>
      <c r="C457" s="5" t="s">
        <v>116</v>
      </c>
      <c r="D457" s="5" t="s">
        <v>129</v>
      </c>
      <c r="E457" s="5" t="s">
        <v>132</v>
      </c>
      <c r="F457" s="5" t="n">
        <v>3</v>
      </c>
      <c r="G457" s="5" t="n">
        <v>3</v>
      </c>
      <c r="H457" s="5" t="n">
        <f aca="false">G457-F457</f>
        <v>0</v>
      </c>
      <c r="I457" s="5" t="n">
        <f aca="false">ABS(H457)</f>
        <v>0</v>
      </c>
      <c r="J457" s="5" t="n">
        <f aca="false">IF(I457=0,1,0)</f>
        <v>1</v>
      </c>
      <c r="K457" s="5" t="n">
        <f aca="false">IF(I457&lt;=1,1,0)</f>
        <v>1</v>
      </c>
      <c r="L457" s="5" t="s">
        <v>71</v>
      </c>
      <c r="M457" s="5" t="s">
        <v>302</v>
      </c>
    </row>
    <row r="458" customFormat="false" ht="15" hidden="false" customHeight="false" outlineLevel="0" collapsed="false">
      <c r="A458" s="16" t="s">
        <v>51</v>
      </c>
      <c r="B458" s="16" t="s">
        <v>52</v>
      </c>
      <c r="C458" s="16" t="s">
        <v>116</v>
      </c>
      <c r="D458" s="16" t="s">
        <v>129</v>
      </c>
      <c r="E458" s="16" t="s">
        <v>133</v>
      </c>
      <c r="F458" s="16" t="n">
        <v>2</v>
      </c>
      <c r="G458" s="16" t="n">
        <v>3</v>
      </c>
      <c r="H458" s="16" t="n">
        <f aca="false">G458-F458</f>
        <v>1</v>
      </c>
      <c r="I458" s="16" t="n">
        <f aca="false">ABS(H458)</f>
        <v>1</v>
      </c>
      <c r="J458" s="16" t="n">
        <f aca="false">IF(I458=0,1,0)</f>
        <v>0</v>
      </c>
      <c r="K458" s="16" t="n">
        <f aca="false">IF(I458&lt;=1,1,0)</f>
        <v>1</v>
      </c>
      <c r="L458" s="16" t="s">
        <v>76</v>
      </c>
      <c r="M458" s="16" t="s">
        <v>302</v>
      </c>
    </row>
    <row r="459" customFormat="false" ht="15" hidden="false" customHeight="false" outlineLevel="0" collapsed="false">
      <c r="A459" s="5" t="s">
        <v>51</v>
      </c>
      <c r="B459" s="5" t="s">
        <v>52</v>
      </c>
      <c r="C459" s="5" t="s">
        <v>116</v>
      </c>
      <c r="D459" s="5" t="s">
        <v>129</v>
      </c>
      <c r="E459" s="5" t="s">
        <v>134</v>
      </c>
      <c r="F459" s="5" t="n">
        <v>3</v>
      </c>
      <c r="G459" s="5" t="n">
        <v>3</v>
      </c>
      <c r="H459" s="5" t="n">
        <f aca="false">G459-F459</f>
        <v>0</v>
      </c>
      <c r="I459" s="5" t="n">
        <f aca="false">ABS(H459)</f>
        <v>0</v>
      </c>
      <c r="J459" s="5" t="n">
        <f aca="false">IF(I459=0,1,0)</f>
        <v>1</v>
      </c>
      <c r="K459" s="5" t="n">
        <f aca="false">IF(I459&lt;=1,1,0)</f>
        <v>1</v>
      </c>
      <c r="L459" s="5" t="s">
        <v>71</v>
      </c>
      <c r="M459" s="5" t="s">
        <v>302</v>
      </c>
    </row>
    <row r="460" customFormat="false" ht="15" hidden="false" customHeight="false" outlineLevel="0" collapsed="false">
      <c r="A460" s="5" t="s">
        <v>51</v>
      </c>
      <c r="B460" s="5" t="s">
        <v>52</v>
      </c>
      <c r="C460" s="5" t="s">
        <v>116</v>
      </c>
      <c r="D460" s="5" t="s">
        <v>129</v>
      </c>
      <c r="E460" s="5" t="s">
        <v>135</v>
      </c>
      <c r="F460" s="5" t="n">
        <v>0</v>
      </c>
      <c r="G460" s="5" t="n">
        <v>0</v>
      </c>
      <c r="H460" s="5" t="n">
        <f aca="false">G460-F460</f>
        <v>0</v>
      </c>
      <c r="I460" s="5" t="n">
        <f aca="false">ABS(H460)</f>
        <v>0</v>
      </c>
      <c r="J460" s="5" t="n">
        <f aca="false">IF(I460=0,1,0)</f>
        <v>1</v>
      </c>
      <c r="K460" s="5" t="n">
        <f aca="false">IF(I460&lt;=1,1,0)</f>
        <v>1</v>
      </c>
      <c r="L460" s="5" t="s">
        <v>71</v>
      </c>
      <c r="M460" s="5" t="s">
        <v>302</v>
      </c>
    </row>
    <row r="461" customFormat="false" ht="15" hidden="false" customHeight="false" outlineLevel="0" collapsed="false">
      <c r="A461" s="16" t="s">
        <v>51</v>
      </c>
      <c r="B461" s="16" t="s">
        <v>52</v>
      </c>
      <c r="C461" s="16" t="s">
        <v>116</v>
      </c>
      <c r="D461" s="16" t="s">
        <v>129</v>
      </c>
      <c r="E461" s="16" t="s">
        <v>127</v>
      </c>
      <c r="F461" s="16" t="n">
        <v>1</v>
      </c>
      <c r="G461" s="16" t="n">
        <v>2</v>
      </c>
      <c r="H461" s="16" t="n">
        <f aca="false">G461-F461</f>
        <v>1</v>
      </c>
      <c r="I461" s="16" t="n">
        <f aca="false">ABS(H461)</f>
        <v>1</v>
      </c>
      <c r="J461" s="16" t="n">
        <f aca="false">IF(I461=0,1,0)</f>
        <v>0</v>
      </c>
      <c r="K461" s="16" t="n">
        <f aca="false">IF(I461&lt;=1,1,0)</f>
        <v>1</v>
      </c>
      <c r="L461" s="16" t="s">
        <v>76</v>
      </c>
      <c r="M461" s="16" t="s">
        <v>302</v>
      </c>
    </row>
    <row r="462" customFormat="false" ht="15" hidden="false" customHeight="false" outlineLevel="0" collapsed="false">
      <c r="A462" s="16" t="s">
        <v>51</v>
      </c>
      <c r="B462" s="16" t="s">
        <v>52</v>
      </c>
      <c r="C462" s="16" t="s">
        <v>116</v>
      </c>
      <c r="D462" s="16" t="s">
        <v>129</v>
      </c>
      <c r="E462" s="16" t="s">
        <v>136</v>
      </c>
      <c r="F462" s="16" t="n">
        <v>2</v>
      </c>
      <c r="G462" s="16" t="n">
        <v>3</v>
      </c>
      <c r="H462" s="16" t="n">
        <f aca="false">G462-F462</f>
        <v>1</v>
      </c>
      <c r="I462" s="16" t="n">
        <f aca="false">ABS(H462)</f>
        <v>1</v>
      </c>
      <c r="J462" s="16" t="n">
        <f aca="false">IF(I462=0,1,0)</f>
        <v>0</v>
      </c>
      <c r="K462" s="16" t="n">
        <f aca="false">IF(I462&lt;=1,1,0)</f>
        <v>1</v>
      </c>
      <c r="L462" s="16" t="s">
        <v>76</v>
      </c>
      <c r="M462" s="16" t="s">
        <v>302</v>
      </c>
    </row>
    <row r="463" customFormat="false" ht="15" hidden="false" customHeight="false" outlineLevel="0" collapsed="false">
      <c r="A463" s="16" t="s">
        <v>51</v>
      </c>
      <c r="B463" s="16" t="s">
        <v>52</v>
      </c>
      <c r="C463" s="16" t="s">
        <v>116</v>
      </c>
      <c r="D463" s="16" t="s">
        <v>129</v>
      </c>
      <c r="E463" s="16" t="s">
        <v>137</v>
      </c>
      <c r="F463" s="16" t="n">
        <v>2</v>
      </c>
      <c r="G463" s="16" t="n">
        <v>3</v>
      </c>
      <c r="H463" s="16" t="n">
        <f aca="false">G463-F463</f>
        <v>1</v>
      </c>
      <c r="I463" s="16" t="n">
        <f aca="false">ABS(H463)</f>
        <v>1</v>
      </c>
      <c r="J463" s="16" t="n">
        <f aca="false">IF(I463=0,1,0)</f>
        <v>0</v>
      </c>
      <c r="K463" s="16" t="n">
        <f aca="false">IF(I463&lt;=1,1,0)</f>
        <v>1</v>
      </c>
      <c r="L463" s="16" t="s">
        <v>76</v>
      </c>
      <c r="M463" s="16" t="s">
        <v>302</v>
      </c>
    </row>
    <row r="464" customFormat="false" ht="15" hidden="false" customHeight="false" outlineLevel="0" collapsed="false">
      <c r="A464" s="16" t="s">
        <v>51</v>
      </c>
      <c r="B464" s="16" t="s">
        <v>52</v>
      </c>
      <c r="C464" s="16" t="s">
        <v>116</v>
      </c>
      <c r="D464" s="16" t="s">
        <v>138</v>
      </c>
      <c r="E464" s="16" t="s">
        <v>139</v>
      </c>
      <c r="F464" s="16" t="n">
        <v>0</v>
      </c>
      <c r="G464" s="16" t="n">
        <v>1</v>
      </c>
      <c r="H464" s="16" t="n">
        <f aca="false">G464-F464</f>
        <v>1</v>
      </c>
      <c r="I464" s="16" t="n">
        <f aca="false">ABS(H464)</f>
        <v>1</v>
      </c>
      <c r="J464" s="16" t="n">
        <f aca="false">IF(I464=0,1,0)</f>
        <v>0</v>
      </c>
      <c r="K464" s="16" t="n">
        <f aca="false">IF(I464&lt;=1,1,0)</f>
        <v>1</v>
      </c>
      <c r="L464" s="16" t="s">
        <v>76</v>
      </c>
      <c r="M464" s="16" t="s">
        <v>303</v>
      </c>
    </row>
    <row r="465" customFormat="false" ht="15" hidden="false" customHeight="false" outlineLevel="0" collapsed="false">
      <c r="A465" s="16" t="s">
        <v>51</v>
      </c>
      <c r="B465" s="16" t="s">
        <v>52</v>
      </c>
      <c r="C465" s="16" t="s">
        <v>116</v>
      </c>
      <c r="D465" s="16" t="s">
        <v>138</v>
      </c>
      <c r="E465" s="16" t="s">
        <v>141</v>
      </c>
      <c r="F465" s="16" t="n">
        <v>2</v>
      </c>
      <c r="G465" s="16" t="n">
        <v>3</v>
      </c>
      <c r="H465" s="16" t="n">
        <f aca="false">G465-F465</f>
        <v>1</v>
      </c>
      <c r="I465" s="16" t="n">
        <f aca="false">ABS(H465)</f>
        <v>1</v>
      </c>
      <c r="J465" s="16" t="n">
        <f aca="false">IF(I465=0,1,0)</f>
        <v>0</v>
      </c>
      <c r="K465" s="16" t="n">
        <f aca="false">IF(I465&lt;=1,1,0)</f>
        <v>1</v>
      </c>
      <c r="L465" s="16" t="s">
        <v>76</v>
      </c>
      <c r="M465" s="16" t="s">
        <v>303</v>
      </c>
    </row>
    <row r="466" customFormat="false" ht="15" hidden="false" customHeight="false" outlineLevel="0" collapsed="false">
      <c r="A466" s="5" t="s">
        <v>51</v>
      </c>
      <c r="B466" s="5" t="s">
        <v>52</v>
      </c>
      <c r="C466" s="5" t="s">
        <v>116</v>
      </c>
      <c r="D466" s="5" t="s">
        <v>138</v>
      </c>
      <c r="E466" s="5" t="s">
        <v>142</v>
      </c>
      <c r="F466" s="5" t="n">
        <v>2</v>
      </c>
      <c r="G466" s="5" t="n">
        <v>2</v>
      </c>
      <c r="H466" s="5" t="n">
        <f aca="false">G466-F466</f>
        <v>0</v>
      </c>
      <c r="I466" s="5" t="n">
        <f aca="false">ABS(H466)</f>
        <v>0</v>
      </c>
      <c r="J466" s="5" t="n">
        <f aca="false">IF(I466=0,1,0)</f>
        <v>1</v>
      </c>
      <c r="K466" s="5" t="n">
        <f aca="false">IF(I466&lt;=1,1,0)</f>
        <v>1</v>
      </c>
      <c r="L466" s="5" t="s">
        <v>71</v>
      </c>
      <c r="M466" s="5" t="s">
        <v>303</v>
      </c>
    </row>
    <row r="467" customFormat="false" ht="15" hidden="false" customHeight="false" outlineLevel="0" collapsed="false">
      <c r="A467" s="16" t="s">
        <v>51</v>
      </c>
      <c r="B467" s="16" t="s">
        <v>52</v>
      </c>
      <c r="C467" s="16" t="s">
        <v>116</v>
      </c>
      <c r="D467" s="16" t="s">
        <v>138</v>
      </c>
      <c r="E467" s="16" t="s">
        <v>143</v>
      </c>
      <c r="F467" s="16" t="n">
        <v>1</v>
      </c>
      <c r="G467" s="16" t="n">
        <v>2</v>
      </c>
      <c r="H467" s="16" t="n">
        <f aca="false">G467-F467</f>
        <v>1</v>
      </c>
      <c r="I467" s="16" t="n">
        <f aca="false">ABS(H467)</f>
        <v>1</v>
      </c>
      <c r="J467" s="16" t="n">
        <f aca="false">IF(I467=0,1,0)</f>
        <v>0</v>
      </c>
      <c r="K467" s="16" t="n">
        <f aca="false">IF(I467&lt;=1,1,0)</f>
        <v>1</v>
      </c>
      <c r="L467" s="16" t="s">
        <v>76</v>
      </c>
      <c r="M467" s="16" t="s">
        <v>303</v>
      </c>
    </row>
    <row r="468" customFormat="false" ht="15" hidden="false" customHeight="false" outlineLevel="0" collapsed="false">
      <c r="A468" s="16" t="s">
        <v>51</v>
      </c>
      <c r="B468" s="16" t="s">
        <v>52</v>
      </c>
      <c r="C468" s="16" t="s">
        <v>116</v>
      </c>
      <c r="D468" s="16" t="s">
        <v>138</v>
      </c>
      <c r="E468" s="16" t="s">
        <v>144</v>
      </c>
      <c r="F468" s="16" t="n">
        <v>1</v>
      </c>
      <c r="G468" s="16" t="n">
        <v>2</v>
      </c>
      <c r="H468" s="16" t="n">
        <f aca="false">G468-F468</f>
        <v>1</v>
      </c>
      <c r="I468" s="16" t="n">
        <f aca="false">ABS(H468)</f>
        <v>1</v>
      </c>
      <c r="J468" s="16" t="n">
        <f aca="false">IF(I468=0,1,0)</f>
        <v>0</v>
      </c>
      <c r="K468" s="16" t="n">
        <f aca="false">IF(I468&lt;=1,1,0)</f>
        <v>1</v>
      </c>
      <c r="L468" s="16" t="s">
        <v>76</v>
      </c>
      <c r="M468" s="16" t="s">
        <v>303</v>
      </c>
    </row>
    <row r="469" customFormat="false" ht="15" hidden="false" customHeight="false" outlineLevel="0" collapsed="false">
      <c r="A469" s="16" t="s">
        <v>51</v>
      </c>
      <c r="B469" s="16" t="s">
        <v>52</v>
      </c>
      <c r="C469" s="16" t="s">
        <v>116</v>
      </c>
      <c r="D469" s="16" t="s">
        <v>138</v>
      </c>
      <c r="E469" s="16" t="s">
        <v>127</v>
      </c>
      <c r="F469" s="16" t="n">
        <v>1</v>
      </c>
      <c r="G469" s="16" t="n">
        <v>2</v>
      </c>
      <c r="H469" s="16" t="n">
        <f aca="false">G469-F469</f>
        <v>1</v>
      </c>
      <c r="I469" s="16" t="n">
        <f aca="false">ABS(H469)</f>
        <v>1</v>
      </c>
      <c r="J469" s="16" t="n">
        <f aca="false">IF(I469=0,1,0)</f>
        <v>0</v>
      </c>
      <c r="K469" s="16" t="n">
        <f aca="false">IF(I469&lt;=1,1,0)</f>
        <v>1</v>
      </c>
      <c r="L469" s="16" t="s">
        <v>76</v>
      </c>
      <c r="M469" s="16" t="s">
        <v>303</v>
      </c>
    </row>
    <row r="470" customFormat="false" ht="15" hidden="false" customHeight="false" outlineLevel="0" collapsed="false">
      <c r="A470" s="5" t="s">
        <v>51</v>
      </c>
      <c r="B470" s="5" t="s">
        <v>52</v>
      </c>
      <c r="C470" s="5" t="s">
        <v>145</v>
      </c>
      <c r="D470" s="5" t="s">
        <v>69</v>
      </c>
      <c r="E470" s="5" t="s">
        <v>146</v>
      </c>
      <c r="F470" s="5" t="n">
        <v>3</v>
      </c>
      <c r="G470" s="5" t="n">
        <v>3</v>
      </c>
      <c r="H470" s="5" t="n">
        <f aca="false">G470-F470</f>
        <v>0</v>
      </c>
      <c r="I470" s="5" t="n">
        <f aca="false">ABS(H470)</f>
        <v>0</v>
      </c>
      <c r="J470" s="5" t="n">
        <f aca="false">IF(I470=0,1,0)</f>
        <v>1</v>
      </c>
      <c r="K470" s="5" t="n">
        <f aca="false">IF(I470&lt;=1,1,0)</f>
        <v>1</v>
      </c>
      <c r="L470" s="5" t="s">
        <v>71</v>
      </c>
      <c r="M470" s="5" t="s">
        <v>304</v>
      </c>
    </row>
    <row r="471" customFormat="false" ht="15" hidden="false" customHeight="false" outlineLevel="0" collapsed="false">
      <c r="A471" s="5" t="s">
        <v>51</v>
      </c>
      <c r="B471" s="5" t="s">
        <v>52</v>
      </c>
      <c r="C471" s="5" t="s">
        <v>145</v>
      </c>
      <c r="D471" s="5" t="s">
        <v>69</v>
      </c>
      <c r="E471" s="5" t="s">
        <v>117</v>
      </c>
      <c r="F471" s="5" t="n">
        <v>3</v>
      </c>
      <c r="G471" s="5" t="n">
        <v>3</v>
      </c>
      <c r="H471" s="5" t="n">
        <f aca="false">G471-F471</f>
        <v>0</v>
      </c>
      <c r="I471" s="5" t="n">
        <f aca="false">ABS(H471)</f>
        <v>0</v>
      </c>
      <c r="J471" s="5" t="n">
        <f aca="false">IF(I471=0,1,0)</f>
        <v>1</v>
      </c>
      <c r="K471" s="5" t="n">
        <f aca="false">IF(I471&lt;=1,1,0)</f>
        <v>1</v>
      </c>
      <c r="L471" s="5" t="s">
        <v>71</v>
      </c>
      <c r="M471" s="5" t="s">
        <v>304</v>
      </c>
    </row>
    <row r="472" customFormat="false" ht="15" hidden="false" customHeight="false" outlineLevel="0" collapsed="false">
      <c r="A472" s="5" t="s">
        <v>51</v>
      </c>
      <c r="B472" s="5" t="s">
        <v>52</v>
      </c>
      <c r="C472" s="5" t="s">
        <v>145</v>
      </c>
      <c r="D472" s="5" t="s">
        <v>69</v>
      </c>
      <c r="E472" s="5" t="s">
        <v>148</v>
      </c>
      <c r="F472" s="5" t="n">
        <v>3</v>
      </c>
      <c r="G472" s="5" t="n">
        <v>3</v>
      </c>
      <c r="H472" s="5" t="n">
        <f aca="false">G472-F472</f>
        <v>0</v>
      </c>
      <c r="I472" s="5" t="n">
        <f aca="false">ABS(H472)</f>
        <v>0</v>
      </c>
      <c r="J472" s="5" t="n">
        <f aca="false">IF(I472=0,1,0)</f>
        <v>1</v>
      </c>
      <c r="K472" s="5" t="n">
        <f aca="false">IF(I472&lt;=1,1,0)</f>
        <v>1</v>
      </c>
      <c r="L472" s="5" t="s">
        <v>71</v>
      </c>
      <c r="M472" s="5" t="s">
        <v>304</v>
      </c>
    </row>
    <row r="473" customFormat="false" ht="15" hidden="false" customHeight="false" outlineLevel="0" collapsed="false">
      <c r="A473" s="16" t="s">
        <v>51</v>
      </c>
      <c r="B473" s="16" t="s">
        <v>52</v>
      </c>
      <c r="C473" s="16" t="s">
        <v>145</v>
      </c>
      <c r="D473" s="16" t="s">
        <v>69</v>
      </c>
      <c r="E473" s="16" t="s">
        <v>149</v>
      </c>
      <c r="F473" s="16" t="n">
        <v>3</v>
      </c>
      <c r="G473" s="16" t="n">
        <v>2</v>
      </c>
      <c r="H473" s="16" t="n">
        <f aca="false">G473-F473</f>
        <v>-1</v>
      </c>
      <c r="I473" s="16" t="n">
        <f aca="false">ABS(H473)</f>
        <v>1</v>
      </c>
      <c r="J473" s="16" t="n">
        <f aca="false">IF(I473=0,1,0)</f>
        <v>0</v>
      </c>
      <c r="K473" s="16" t="n">
        <f aca="false">IF(I473&lt;=1,1,0)</f>
        <v>1</v>
      </c>
      <c r="L473" s="16" t="s">
        <v>76</v>
      </c>
      <c r="M473" s="16" t="s">
        <v>304</v>
      </c>
    </row>
    <row r="474" customFormat="false" ht="15" hidden="false" customHeight="false" outlineLevel="0" collapsed="false">
      <c r="A474" s="5" t="s">
        <v>51</v>
      </c>
      <c r="B474" s="5" t="s">
        <v>52</v>
      </c>
      <c r="C474" s="5" t="s">
        <v>145</v>
      </c>
      <c r="D474" s="5" t="s">
        <v>114</v>
      </c>
      <c r="E474" s="5" t="s">
        <v>150</v>
      </c>
      <c r="F474" s="5" t="n">
        <v>3</v>
      </c>
      <c r="G474" s="5" t="n">
        <v>3</v>
      </c>
      <c r="H474" s="5" t="n">
        <f aca="false">G474-F474</f>
        <v>0</v>
      </c>
      <c r="I474" s="5" t="n">
        <f aca="false">ABS(H474)</f>
        <v>0</v>
      </c>
      <c r="J474" s="5" t="n">
        <f aca="false">IF(I474=0,1,0)</f>
        <v>1</v>
      </c>
      <c r="K474" s="5" t="n">
        <f aca="false">IF(I474&lt;=1,1,0)</f>
        <v>1</v>
      </c>
      <c r="L474" s="5" t="s">
        <v>71</v>
      </c>
      <c r="M474" s="5" t="s">
        <v>305</v>
      </c>
    </row>
    <row r="475" customFormat="false" ht="15" hidden="false" customHeight="false" outlineLevel="0" collapsed="false">
      <c r="A475" s="5" t="s">
        <v>51</v>
      </c>
      <c r="B475" s="5" t="s">
        <v>52</v>
      </c>
      <c r="C475" s="5" t="s">
        <v>145</v>
      </c>
      <c r="D475" s="5" t="s">
        <v>114</v>
      </c>
      <c r="E475" s="5" t="s">
        <v>152</v>
      </c>
      <c r="F475" s="5" t="n">
        <v>2</v>
      </c>
      <c r="G475" s="5" t="n">
        <v>2</v>
      </c>
      <c r="H475" s="5" t="n">
        <f aca="false">G475-F475</f>
        <v>0</v>
      </c>
      <c r="I475" s="5" t="n">
        <f aca="false">ABS(H475)</f>
        <v>0</v>
      </c>
      <c r="J475" s="5" t="n">
        <f aca="false">IF(I475=0,1,0)</f>
        <v>1</v>
      </c>
      <c r="K475" s="5" t="n">
        <f aca="false">IF(I475&lt;=1,1,0)</f>
        <v>1</v>
      </c>
      <c r="L475" s="5" t="s">
        <v>71</v>
      </c>
      <c r="M475" s="5" t="s">
        <v>305</v>
      </c>
    </row>
    <row r="476" customFormat="false" ht="15" hidden="false" customHeight="false" outlineLevel="0" collapsed="false">
      <c r="A476" s="16" t="s">
        <v>51</v>
      </c>
      <c r="B476" s="16" t="s">
        <v>52</v>
      </c>
      <c r="C476" s="16" t="s">
        <v>145</v>
      </c>
      <c r="D476" s="16" t="s">
        <v>114</v>
      </c>
      <c r="E476" s="16" t="s">
        <v>153</v>
      </c>
      <c r="F476" s="16" t="n">
        <v>2</v>
      </c>
      <c r="G476" s="16" t="n">
        <v>0</v>
      </c>
      <c r="H476" s="16" t="n">
        <f aca="false">G476-F476</f>
        <v>-2</v>
      </c>
      <c r="I476" s="16" t="n">
        <f aca="false">ABS(H476)</f>
        <v>2</v>
      </c>
      <c r="J476" s="16" t="n">
        <f aca="false">IF(I476=0,1,0)</f>
        <v>0</v>
      </c>
      <c r="K476" s="16" t="n">
        <f aca="false">IF(I476&lt;=1,1,0)</f>
        <v>0</v>
      </c>
      <c r="L476" s="16" t="s">
        <v>76</v>
      </c>
      <c r="M476" s="16" t="s">
        <v>305</v>
      </c>
    </row>
    <row r="477" customFormat="false" ht="15" hidden="false" customHeight="false" outlineLevel="0" collapsed="false">
      <c r="A477" s="5" t="s">
        <v>51</v>
      </c>
      <c r="B477" s="5" t="s">
        <v>52</v>
      </c>
      <c r="C477" s="5" t="s">
        <v>145</v>
      </c>
      <c r="D477" s="5" t="s">
        <v>114</v>
      </c>
      <c r="E477" s="5" t="s">
        <v>154</v>
      </c>
      <c r="F477" s="5" t="n">
        <v>1</v>
      </c>
      <c r="G477" s="5" t="n">
        <v>1</v>
      </c>
      <c r="H477" s="5" t="n">
        <f aca="false">G477-F477</f>
        <v>0</v>
      </c>
      <c r="I477" s="5" t="n">
        <f aca="false">ABS(H477)</f>
        <v>0</v>
      </c>
      <c r="J477" s="5" t="n">
        <f aca="false">IF(I477=0,1,0)</f>
        <v>1</v>
      </c>
      <c r="K477" s="5" t="n">
        <f aca="false">IF(I477&lt;=1,1,0)</f>
        <v>1</v>
      </c>
      <c r="L477" s="5" t="s">
        <v>71</v>
      </c>
      <c r="M477" s="5" t="s">
        <v>305</v>
      </c>
    </row>
    <row r="478" customFormat="false" ht="15" hidden="false" customHeight="false" outlineLevel="0" collapsed="false">
      <c r="A478" s="16" t="s">
        <v>51</v>
      </c>
      <c r="B478" s="16" t="s">
        <v>52</v>
      </c>
      <c r="C478" s="16" t="s">
        <v>145</v>
      </c>
      <c r="D478" s="16" t="s">
        <v>114</v>
      </c>
      <c r="E478" s="16" t="s">
        <v>155</v>
      </c>
      <c r="F478" s="16" t="n">
        <v>3</v>
      </c>
      <c r="G478" s="16" t="n">
        <v>2</v>
      </c>
      <c r="H478" s="16" t="n">
        <f aca="false">G478-F478</f>
        <v>-1</v>
      </c>
      <c r="I478" s="16" t="n">
        <f aca="false">ABS(H478)</f>
        <v>1</v>
      </c>
      <c r="J478" s="16" t="n">
        <f aca="false">IF(I478=0,1,0)</f>
        <v>0</v>
      </c>
      <c r="K478" s="16" t="n">
        <f aca="false">IF(I478&lt;=1,1,0)</f>
        <v>1</v>
      </c>
      <c r="L478" s="16" t="s">
        <v>76</v>
      </c>
      <c r="M478" s="16" t="s">
        <v>305</v>
      </c>
    </row>
    <row r="479" customFormat="false" ht="15" hidden="false" customHeight="false" outlineLevel="0" collapsed="false">
      <c r="A479" s="5" t="s">
        <v>51</v>
      </c>
      <c r="B479" s="5" t="s">
        <v>52</v>
      </c>
      <c r="C479" s="5" t="s">
        <v>145</v>
      </c>
      <c r="D479" s="5" t="s">
        <v>156</v>
      </c>
      <c r="E479" s="5" t="s">
        <v>157</v>
      </c>
      <c r="F479" s="5" t="n">
        <v>2</v>
      </c>
      <c r="G479" s="5" t="n">
        <v>2</v>
      </c>
      <c r="H479" s="5" t="n">
        <f aca="false">G479-F479</f>
        <v>0</v>
      </c>
      <c r="I479" s="5" t="n">
        <f aca="false">ABS(H479)</f>
        <v>0</v>
      </c>
      <c r="J479" s="5" t="n">
        <f aca="false">IF(I479=0,1,0)</f>
        <v>1</v>
      </c>
      <c r="K479" s="5" t="n">
        <f aca="false">IF(I479&lt;=1,1,0)</f>
        <v>1</v>
      </c>
      <c r="L479" s="5" t="s">
        <v>71</v>
      </c>
      <c r="M479" s="5" t="s">
        <v>306</v>
      </c>
    </row>
    <row r="480" customFormat="false" ht="15" hidden="false" customHeight="false" outlineLevel="0" collapsed="false">
      <c r="A480" s="5" t="s">
        <v>51</v>
      </c>
      <c r="B480" s="5" t="s">
        <v>52</v>
      </c>
      <c r="C480" s="5" t="s">
        <v>145</v>
      </c>
      <c r="D480" s="5" t="s">
        <v>156</v>
      </c>
      <c r="E480" s="5" t="s">
        <v>159</v>
      </c>
      <c r="F480" s="5" t="n">
        <v>0</v>
      </c>
      <c r="G480" s="5" t="n">
        <v>0</v>
      </c>
      <c r="H480" s="5" t="n">
        <f aca="false">G480-F480</f>
        <v>0</v>
      </c>
      <c r="I480" s="5" t="n">
        <f aca="false">ABS(H480)</f>
        <v>0</v>
      </c>
      <c r="J480" s="5" t="n">
        <f aca="false">IF(I480=0,1,0)</f>
        <v>1</v>
      </c>
      <c r="K480" s="5" t="n">
        <f aca="false">IF(I480&lt;=1,1,0)</f>
        <v>1</v>
      </c>
      <c r="L480" s="5" t="s">
        <v>71</v>
      </c>
      <c r="M480" s="5" t="s">
        <v>306</v>
      </c>
    </row>
    <row r="481" customFormat="false" ht="15" hidden="false" customHeight="false" outlineLevel="0" collapsed="false">
      <c r="A481" s="5" t="s">
        <v>51</v>
      </c>
      <c r="B481" s="5" t="s">
        <v>52</v>
      </c>
      <c r="C481" s="5" t="s">
        <v>145</v>
      </c>
      <c r="D481" s="5" t="s">
        <v>156</v>
      </c>
      <c r="E481" s="5" t="s">
        <v>160</v>
      </c>
      <c r="F481" s="5" t="n">
        <v>1</v>
      </c>
      <c r="G481" s="5" t="n">
        <v>1</v>
      </c>
      <c r="H481" s="5" t="n">
        <f aca="false">G481-F481</f>
        <v>0</v>
      </c>
      <c r="I481" s="5" t="n">
        <f aca="false">ABS(H481)</f>
        <v>0</v>
      </c>
      <c r="J481" s="5" t="n">
        <f aca="false">IF(I481=0,1,0)</f>
        <v>1</v>
      </c>
      <c r="K481" s="5" t="n">
        <f aca="false">IF(I481&lt;=1,1,0)</f>
        <v>1</v>
      </c>
      <c r="L481" s="5" t="s">
        <v>71</v>
      </c>
      <c r="M481" s="5" t="s">
        <v>306</v>
      </c>
    </row>
    <row r="482" customFormat="false" ht="15" hidden="false" customHeight="false" outlineLevel="0" collapsed="false">
      <c r="A482" s="5" t="s">
        <v>51</v>
      </c>
      <c r="B482" s="5" t="s">
        <v>52</v>
      </c>
      <c r="C482" s="5" t="s">
        <v>145</v>
      </c>
      <c r="D482" s="5" t="s">
        <v>156</v>
      </c>
      <c r="E482" s="5" t="s">
        <v>161</v>
      </c>
      <c r="F482" s="5" t="n">
        <v>2</v>
      </c>
      <c r="G482" s="5" t="n">
        <v>2</v>
      </c>
      <c r="H482" s="5" t="n">
        <f aca="false">G482-F482</f>
        <v>0</v>
      </c>
      <c r="I482" s="5" t="n">
        <f aca="false">ABS(H482)</f>
        <v>0</v>
      </c>
      <c r="J482" s="5" t="n">
        <f aca="false">IF(I482=0,1,0)</f>
        <v>1</v>
      </c>
      <c r="K482" s="5" t="n">
        <f aca="false">IF(I482&lt;=1,1,0)</f>
        <v>1</v>
      </c>
      <c r="L482" s="5" t="s">
        <v>71</v>
      </c>
      <c r="M482" s="5" t="s">
        <v>306</v>
      </c>
    </row>
    <row r="483" customFormat="false" ht="15" hidden="false" customHeight="false" outlineLevel="0" collapsed="false">
      <c r="A483" s="5" t="s">
        <v>51</v>
      </c>
      <c r="B483" s="5" t="s">
        <v>52</v>
      </c>
      <c r="C483" s="5" t="s">
        <v>145</v>
      </c>
      <c r="D483" s="5" t="s">
        <v>156</v>
      </c>
      <c r="E483" s="5" t="s">
        <v>162</v>
      </c>
      <c r="F483" s="5" t="n">
        <v>2</v>
      </c>
      <c r="G483" s="5" t="n">
        <v>2</v>
      </c>
      <c r="H483" s="5" t="n">
        <f aca="false">G483-F483</f>
        <v>0</v>
      </c>
      <c r="I483" s="5" t="n">
        <f aca="false">ABS(H483)</f>
        <v>0</v>
      </c>
      <c r="J483" s="5" t="n">
        <f aca="false">IF(I483=0,1,0)</f>
        <v>1</v>
      </c>
      <c r="K483" s="5" t="n">
        <f aca="false">IF(I483&lt;=1,1,0)</f>
        <v>1</v>
      </c>
      <c r="L483" s="5" t="s">
        <v>71</v>
      </c>
      <c r="M483" s="5" t="s">
        <v>306</v>
      </c>
    </row>
    <row r="484" customFormat="false" ht="15" hidden="false" customHeight="false" outlineLevel="0" collapsed="false">
      <c r="A484" s="5" t="s">
        <v>51</v>
      </c>
      <c r="B484" s="5" t="s">
        <v>52</v>
      </c>
      <c r="C484" s="5" t="s">
        <v>145</v>
      </c>
      <c r="D484" s="5" t="s">
        <v>163</v>
      </c>
      <c r="E484" s="5" t="s">
        <v>164</v>
      </c>
      <c r="F484" s="5" t="n">
        <v>3</v>
      </c>
      <c r="G484" s="5" t="n">
        <v>3</v>
      </c>
      <c r="H484" s="5" t="n">
        <f aca="false">G484-F484</f>
        <v>0</v>
      </c>
      <c r="I484" s="5" t="n">
        <f aca="false">ABS(H484)</f>
        <v>0</v>
      </c>
      <c r="J484" s="5" t="n">
        <f aca="false">IF(I484=0,1,0)</f>
        <v>1</v>
      </c>
      <c r="K484" s="5" t="n">
        <f aca="false">IF(I484&lt;=1,1,0)</f>
        <v>1</v>
      </c>
      <c r="L484" s="5" t="s">
        <v>71</v>
      </c>
      <c r="M484" s="5" t="s">
        <v>307</v>
      </c>
    </row>
    <row r="485" customFormat="false" ht="15" hidden="false" customHeight="false" outlineLevel="0" collapsed="false">
      <c r="A485" s="5" t="s">
        <v>51</v>
      </c>
      <c r="B485" s="5" t="s">
        <v>52</v>
      </c>
      <c r="C485" s="5" t="s">
        <v>145</v>
      </c>
      <c r="D485" s="5" t="s">
        <v>163</v>
      </c>
      <c r="E485" s="5" t="s">
        <v>166</v>
      </c>
      <c r="F485" s="5" t="n">
        <v>2</v>
      </c>
      <c r="G485" s="5" t="n">
        <v>2</v>
      </c>
      <c r="H485" s="5" t="n">
        <f aca="false">G485-F485</f>
        <v>0</v>
      </c>
      <c r="I485" s="5" t="n">
        <f aca="false">ABS(H485)</f>
        <v>0</v>
      </c>
      <c r="J485" s="5" t="n">
        <f aca="false">IF(I485=0,1,0)</f>
        <v>1</v>
      </c>
      <c r="K485" s="5" t="n">
        <f aca="false">IF(I485&lt;=1,1,0)</f>
        <v>1</v>
      </c>
      <c r="L485" s="5" t="s">
        <v>71</v>
      </c>
      <c r="M485" s="5" t="s">
        <v>307</v>
      </c>
    </row>
    <row r="486" customFormat="false" ht="15" hidden="false" customHeight="false" outlineLevel="0" collapsed="false">
      <c r="A486" s="16" t="s">
        <v>51</v>
      </c>
      <c r="B486" s="16" t="s">
        <v>52</v>
      </c>
      <c r="C486" s="16" t="s">
        <v>145</v>
      </c>
      <c r="D486" s="16" t="s">
        <v>163</v>
      </c>
      <c r="E486" s="16" t="s">
        <v>167</v>
      </c>
      <c r="F486" s="16" t="n">
        <v>3</v>
      </c>
      <c r="G486" s="16" t="n">
        <v>2</v>
      </c>
      <c r="H486" s="16" t="n">
        <f aca="false">G486-F486</f>
        <v>-1</v>
      </c>
      <c r="I486" s="16" t="n">
        <f aca="false">ABS(H486)</f>
        <v>1</v>
      </c>
      <c r="J486" s="16" t="n">
        <f aca="false">IF(I486=0,1,0)</f>
        <v>0</v>
      </c>
      <c r="K486" s="16" t="n">
        <f aca="false">IF(I486&lt;=1,1,0)</f>
        <v>1</v>
      </c>
      <c r="L486" s="16" t="s">
        <v>76</v>
      </c>
      <c r="M486" s="16" t="s">
        <v>307</v>
      </c>
    </row>
    <row r="487" customFormat="false" ht="15" hidden="false" customHeight="false" outlineLevel="0" collapsed="false">
      <c r="A487" s="5" t="s">
        <v>51</v>
      </c>
      <c r="B487" s="5" t="s">
        <v>52</v>
      </c>
      <c r="C487" s="5" t="s">
        <v>145</v>
      </c>
      <c r="D487" s="5" t="s">
        <v>163</v>
      </c>
      <c r="E487" s="5" t="s">
        <v>168</v>
      </c>
      <c r="F487" s="5" t="n">
        <v>1</v>
      </c>
      <c r="G487" s="5" t="n">
        <v>1</v>
      </c>
      <c r="H487" s="5" t="n">
        <f aca="false">G487-F487</f>
        <v>0</v>
      </c>
      <c r="I487" s="5" t="n">
        <f aca="false">ABS(H487)</f>
        <v>0</v>
      </c>
      <c r="J487" s="5" t="n">
        <f aca="false">IF(I487=0,1,0)</f>
        <v>1</v>
      </c>
      <c r="K487" s="5" t="n">
        <f aca="false">IF(I487&lt;=1,1,0)</f>
        <v>1</v>
      </c>
      <c r="L487" s="5" t="s">
        <v>71</v>
      </c>
      <c r="M487" s="5" t="s">
        <v>307</v>
      </c>
    </row>
    <row r="488" customFormat="false" ht="15" hidden="false" customHeight="false" outlineLevel="0" collapsed="false">
      <c r="A488" s="5" t="s">
        <v>51</v>
      </c>
      <c r="B488" s="5" t="s">
        <v>52</v>
      </c>
      <c r="C488" s="5" t="s">
        <v>145</v>
      </c>
      <c r="D488" s="5" t="s">
        <v>163</v>
      </c>
      <c r="E488" s="5" t="s">
        <v>169</v>
      </c>
      <c r="F488" s="5" t="n">
        <v>1</v>
      </c>
      <c r="G488" s="5" t="n">
        <v>1</v>
      </c>
      <c r="H488" s="5" t="n">
        <f aca="false">G488-F488</f>
        <v>0</v>
      </c>
      <c r="I488" s="5" t="n">
        <f aca="false">ABS(H488)</f>
        <v>0</v>
      </c>
      <c r="J488" s="5" t="n">
        <f aca="false">IF(I488=0,1,0)</f>
        <v>1</v>
      </c>
      <c r="K488" s="5" t="n">
        <f aca="false">IF(I488&lt;=1,1,0)</f>
        <v>1</v>
      </c>
      <c r="L488" s="5" t="s">
        <v>71</v>
      </c>
      <c r="M488" s="5" t="s">
        <v>307</v>
      </c>
    </row>
    <row r="489" customFormat="false" ht="15" hidden="false" customHeight="false" outlineLevel="0" collapsed="false">
      <c r="A489" s="16" t="s">
        <v>51</v>
      </c>
      <c r="B489" s="16" t="s">
        <v>52</v>
      </c>
      <c r="C489" s="16" t="s">
        <v>170</v>
      </c>
      <c r="D489" s="16" t="s">
        <v>69</v>
      </c>
      <c r="E489" s="16" t="s">
        <v>171</v>
      </c>
      <c r="F489" s="16" t="n">
        <v>2</v>
      </c>
      <c r="G489" s="16" t="n">
        <v>3</v>
      </c>
      <c r="H489" s="16" t="n">
        <f aca="false">G489-F489</f>
        <v>1</v>
      </c>
      <c r="I489" s="16" t="n">
        <f aca="false">ABS(H489)</f>
        <v>1</v>
      </c>
      <c r="J489" s="16" t="n">
        <f aca="false">IF(I489=0,1,0)</f>
        <v>0</v>
      </c>
      <c r="K489" s="16" t="n">
        <f aca="false">IF(I489&lt;=1,1,0)</f>
        <v>1</v>
      </c>
      <c r="L489" s="16" t="s">
        <v>76</v>
      </c>
      <c r="M489" s="16" t="s">
        <v>308</v>
      </c>
    </row>
    <row r="490" customFormat="false" ht="15" hidden="false" customHeight="false" outlineLevel="0" collapsed="false">
      <c r="A490" s="16" t="s">
        <v>51</v>
      </c>
      <c r="B490" s="16" t="s">
        <v>52</v>
      </c>
      <c r="C490" s="16" t="s">
        <v>170</v>
      </c>
      <c r="D490" s="16" t="s">
        <v>69</v>
      </c>
      <c r="E490" s="16" t="s">
        <v>173</v>
      </c>
      <c r="F490" s="16" t="n">
        <v>2</v>
      </c>
      <c r="G490" s="16" t="n">
        <v>3</v>
      </c>
      <c r="H490" s="16" t="n">
        <f aca="false">G490-F490</f>
        <v>1</v>
      </c>
      <c r="I490" s="16" t="n">
        <f aca="false">ABS(H490)</f>
        <v>1</v>
      </c>
      <c r="J490" s="16" t="n">
        <f aca="false">IF(I490=0,1,0)</f>
        <v>0</v>
      </c>
      <c r="K490" s="16" t="n">
        <f aca="false">IF(I490&lt;=1,1,0)</f>
        <v>1</v>
      </c>
      <c r="L490" s="16" t="s">
        <v>76</v>
      </c>
      <c r="M490" s="16" t="s">
        <v>308</v>
      </c>
    </row>
    <row r="491" customFormat="false" ht="15" hidden="false" customHeight="false" outlineLevel="0" collapsed="false">
      <c r="A491" s="5" t="s">
        <v>51</v>
      </c>
      <c r="B491" s="5" t="s">
        <v>52</v>
      </c>
      <c r="C491" s="5" t="s">
        <v>170</v>
      </c>
      <c r="D491" s="5" t="s">
        <v>69</v>
      </c>
      <c r="E491" s="5" t="s">
        <v>174</v>
      </c>
      <c r="F491" s="5" t="n">
        <v>1</v>
      </c>
      <c r="G491" s="5" t="n">
        <v>1</v>
      </c>
      <c r="H491" s="5" t="n">
        <f aca="false">G491-F491</f>
        <v>0</v>
      </c>
      <c r="I491" s="5" t="n">
        <f aca="false">ABS(H491)</f>
        <v>0</v>
      </c>
      <c r="J491" s="5" t="n">
        <f aca="false">IF(I491=0,1,0)</f>
        <v>1</v>
      </c>
      <c r="K491" s="5" t="n">
        <f aca="false">IF(I491&lt;=1,1,0)</f>
        <v>1</v>
      </c>
      <c r="L491" s="5" t="s">
        <v>71</v>
      </c>
      <c r="M491" s="5" t="s">
        <v>308</v>
      </c>
    </row>
    <row r="492" customFormat="false" ht="15" hidden="false" customHeight="false" outlineLevel="0" collapsed="false">
      <c r="A492" s="5" t="s">
        <v>51</v>
      </c>
      <c r="B492" s="5" t="s">
        <v>52</v>
      </c>
      <c r="C492" s="5" t="s">
        <v>170</v>
      </c>
      <c r="D492" s="5" t="s">
        <v>107</v>
      </c>
      <c r="E492" s="5" t="s">
        <v>175</v>
      </c>
      <c r="F492" s="5" t="n">
        <v>0</v>
      </c>
      <c r="G492" s="5" t="n">
        <v>0</v>
      </c>
      <c r="H492" s="5" t="n">
        <f aca="false">G492-F492</f>
        <v>0</v>
      </c>
      <c r="I492" s="5" t="n">
        <f aca="false">ABS(H492)</f>
        <v>0</v>
      </c>
      <c r="J492" s="5" t="n">
        <f aca="false">IF(I492=0,1,0)</f>
        <v>1</v>
      </c>
      <c r="K492" s="5" t="n">
        <f aca="false">IF(I492&lt;=1,1,0)</f>
        <v>1</v>
      </c>
      <c r="L492" s="5" t="s">
        <v>71</v>
      </c>
      <c r="M492" s="5" t="s">
        <v>309</v>
      </c>
    </row>
    <row r="493" customFormat="false" ht="15" hidden="false" customHeight="false" outlineLevel="0" collapsed="false">
      <c r="A493" s="5" t="s">
        <v>51</v>
      </c>
      <c r="B493" s="5" t="s">
        <v>52</v>
      </c>
      <c r="C493" s="5" t="s">
        <v>170</v>
      </c>
      <c r="D493" s="5" t="s">
        <v>107</v>
      </c>
      <c r="E493" s="5" t="s">
        <v>177</v>
      </c>
      <c r="F493" s="5" t="n">
        <v>0</v>
      </c>
      <c r="G493" s="5" t="n">
        <v>0</v>
      </c>
      <c r="H493" s="5" t="n">
        <f aca="false">G493-F493</f>
        <v>0</v>
      </c>
      <c r="I493" s="5" t="n">
        <f aca="false">ABS(H493)</f>
        <v>0</v>
      </c>
      <c r="J493" s="5" t="n">
        <f aca="false">IF(I493=0,1,0)</f>
        <v>1</v>
      </c>
      <c r="K493" s="5" t="n">
        <f aca="false">IF(I493&lt;=1,1,0)</f>
        <v>1</v>
      </c>
      <c r="L493" s="5" t="s">
        <v>71</v>
      </c>
      <c r="M493" s="5" t="s">
        <v>309</v>
      </c>
    </row>
    <row r="494" customFormat="false" ht="15" hidden="false" customHeight="false" outlineLevel="0" collapsed="false">
      <c r="A494" s="5" t="s">
        <v>51</v>
      </c>
      <c r="B494" s="5" t="s">
        <v>52</v>
      </c>
      <c r="C494" s="5" t="s">
        <v>170</v>
      </c>
      <c r="D494" s="5" t="s">
        <v>107</v>
      </c>
      <c r="E494" s="5" t="s">
        <v>178</v>
      </c>
      <c r="F494" s="5" t="n">
        <v>2</v>
      </c>
      <c r="G494" s="5" t="n">
        <v>2</v>
      </c>
      <c r="H494" s="5" t="n">
        <f aca="false">G494-F494</f>
        <v>0</v>
      </c>
      <c r="I494" s="5" t="n">
        <f aca="false">ABS(H494)</f>
        <v>0</v>
      </c>
      <c r="J494" s="5" t="n">
        <f aca="false">IF(I494=0,1,0)</f>
        <v>1</v>
      </c>
      <c r="K494" s="5" t="n">
        <f aca="false">IF(I494&lt;=1,1,0)</f>
        <v>1</v>
      </c>
      <c r="L494" s="5" t="s">
        <v>71</v>
      </c>
      <c r="M494" s="5" t="s">
        <v>309</v>
      </c>
    </row>
    <row r="495" customFormat="false" ht="15" hidden="false" customHeight="false" outlineLevel="0" collapsed="false">
      <c r="A495" s="5" t="s">
        <v>51</v>
      </c>
      <c r="B495" s="5" t="s">
        <v>52</v>
      </c>
      <c r="C495" s="5" t="s">
        <v>170</v>
      </c>
      <c r="D495" s="5" t="s">
        <v>107</v>
      </c>
      <c r="E495" s="5" t="s">
        <v>179</v>
      </c>
      <c r="F495" s="5" t="n">
        <v>3</v>
      </c>
      <c r="G495" s="5" t="n">
        <v>3</v>
      </c>
      <c r="H495" s="5" t="n">
        <f aca="false">G495-F495</f>
        <v>0</v>
      </c>
      <c r="I495" s="5" t="n">
        <f aca="false">ABS(H495)</f>
        <v>0</v>
      </c>
      <c r="J495" s="5" t="n">
        <f aca="false">IF(I495=0,1,0)</f>
        <v>1</v>
      </c>
      <c r="K495" s="5" t="n">
        <f aca="false">IF(I495&lt;=1,1,0)</f>
        <v>1</v>
      </c>
      <c r="L495" s="5" t="s">
        <v>71</v>
      </c>
      <c r="M495" s="5" t="s">
        <v>309</v>
      </c>
    </row>
    <row r="496" customFormat="false" ht="15" hidden="false" customHeight="false" outlineLevel="0" collapsed="false">
      <c r="A496" s="16" t="s">
        <v>51</v>
      </c>
      <c r="B496" s="16" t="s">
        <v>52</v>
      </c>
      <c r="C496" s="16" t="s">
        <v>170</v>
      </c>
      <c r="D496" s="16" t="s">
        <v>107</v>
      </c>
      <c r="E496" s="16" t="s">
        <v>180</v>
      </c>
      <c r="F496" s="16" t="n">
        <v>2</v>
      </c>
      <c r="G496" s="16" t="n">
        <v>3</v>
      </c>
      <c r="H496" s="16" t="n">
        <f aca="false">G496-F496</f>
        <v>1</v>
      </c>
      <c r="I496" s="16" t="n">
        <f aca="false">ABS(H496)</f>
        <v>1</v>
      </c>
      <c r="J496" s="16" t="n">
        <f aca="false">IF(I496=0,1,0)</f>
        <v>0</v>
      </c>
      <c r="K496" s="16" t="n">
        <f aca="false">IF(I496&lt;=1,1,0)</f>
        <v>1</v>
      </c>
      <c r="L496" s="16" t="s">
        <v>76</v>
      </c>
      <c r="M496" s="16" t="s">
        <v>309</v>
      </c>
    </row>
    <row r="497" customFormat="false" ht="15" hidden="false" customHeight="false" outlineLevel="0" collapsed="false">
      <c r="A497" s="16" t="s">
        <v>51</v>
      </c>
      <c r="B497" s="16" t="s">
        <v>52</v>
      </c>
      <c r="C497" s="16" t="s">
        <v>170</v>
      </c>
      <c r="D497" s="16" t="s">
        <v>107</v>
      </c>
      <c r="E497" s="16" t="s">
        <v>181</v>
      </c>
      <c r="F497" s="16" t="n">
        <v>1</v>
      </c>
      <c r="G497" s="16" t="n">
        <v>2</v>
      </c>
      <c r="H497" s="16" t="n">
        <f aca="false">G497-F497</f>
        <v>1</v>
      </c>
      <c r="I497" s="16" t="n">
        <f aca="false">ABS(H497)</f>
        <v>1</v>
      </c>
      <c r="J497" s="16" t="n">
        <f aca="false">IF(I497=0,1,0)</f>
        <v>0</v>
      </c>
      <c r="K497" s="16" t="n">
        <f aca="false">IF(I497&lt;=1,1,0)</f>
        <v>1</v>
      </c>
      <c r="L497" s="16" t="s">
        <v>76</v>
      </c>
      <c r="M497" s="16" t="s">
        <v>309</v>
      </c>
    </row>
    <row r="498" customFormat="false" ht="15" hidden="false" customHeight="false" outlineLevel="0" collapsed="false">
      <c r="A498" s="5" t="s">
        <v>51</v>
      </c>
      <c r="B498" s="5" t="s">
        <v>52</v>
      </c>
      <c r="C498" s="5" t="s">
        <v>170</v>
      </c>
      <c r="D498" s="5" t="s">
        <v>182</v>
      </c>
      <c r="E498" s="5" t="s">
        <v>183</v>
      </c>
      <c r="F498" s="5" t="n">
        <v>0</v>
      </c>
      <c r="G498" s="5" t="n">
        <v>0</v>
      </c>
      <c r="H498" s="5" t="n">
        <f aca="false">G498-F498</f>
        <v>0</v>
      </c>
      <c r="I498" s="5" t="n">
        <f aca="false">ABS(H498)</f>
        <v>0</v>
      </c>
      <c r="J498" s="5" t="n">
        <f aca="false">IF(I498=0,1,0)</f>
        <v>1</v>
      </c>
      <c r="K498" s="5" t="n">
        <f aca="false">IF(I498&lt;=1,1,0)</f>
        <v>1</v>
      </c>
      <c r="L498" s="5" t="s">
        <v>71</v>
      </c>
      <c r="M498" s="5" t="s">
        <v>310</v>
      </c>
    </row>
    <row r="499" customFormat="false" ht="15" hidden="false" customHeight="false" outlineLevel="0" collapsed="false">
      <c r="A499" s="16" t="s">
        <v>51</v>
      </c>
      <c r="B499" s="16" t="s">
        <v>52</v>
      </c>
      <c r="C499" s="16" t="s">
        <v>170</v>
      </c>
      <c r="D499" s="16" t="s">
        <v>182</v>
      </c>
      <c r="E499" s="16" t="s">
        <v>185</v>
      </c>
      <c r="F499" s="16" t="n">
        <v>2</v>
      </c>
      <c r="G499" s="16" t="n">
        <v>3</v>
      </c>
      <c r="H499" s="16" t="n">
        <f aca="false">G499-F499</f>
        <v>1</v>
      </c>
      <c r="I499" s="16" t="n">
        <f aca="false">ABS(H499)</f>
        <v>1</v>
      </c>
      <c r="J499" s="16" t="n">
        <f aca="false">IF(I499=0,1,0)</f>
        <v>0</v>
      </c>
      <c r="K499" s="16" t="n">
        <f aca="false">IF(I499&lt;=1,1,0)</f>
        <v>1</v>
      </c>
      <c r="L499" s="16" t="s">
        <v>76</v>
      </c>
      <c r="M499" s="16" t="s">
        <v>310</v>
      </c>
    </row>
    <row r="500" customFormat="false" ht="15" hidden="false" customHeight="false" outlineLevel="0" collapsed="false">
      <c r="A500" s="5" t="s">
        <v>51</v>
      </c>
      <c r="B500" s="5" t="s">
        <v>52</v>
      </c>
      <c r="C500" s="5" t="s">
        <v>170</v>
      </c>
      <c r="D500" s="5" t="s">
        <v>182</v>
      </c>
      <c r="E500" s="5" t="s">
        <v>186</v>
      </c>
      <c r="F500" s="5" t="n">
        <v>0</v>
      </c>
      <c r="G500" s="5" t="n">
        <v>0</v>
      </c>
      <c r="H500" s="5" t="n">
        <f aca="false">G500-F500</f>
        <v>0</v>
      </c>
      <c r="I500" s="5" t="n">
        <f aca="false">ABS(H500)</f>
        <v>0</v>
      </c>
      <c r="J500" s="5" t="n">
        <f aca="false">IF(I500=0,1,0)</f>
        <v>1</v>
      </c>
      <c r="K500" s="5" t="n">
        <f aca="false">IF(I500&lt;=1,1,0)</f>
        <v>1</v>
      </c>
      <c r="L500" s="5" t="s">
        <v>71</v>
      </c>
      <c r="M500" s="5" t="s">
        <v>310</v>
      </c>
    </row>
    <row r="501" customFormat="false" ht="15" hidden="false" customHeight="false" outlineLevel="0" collapsed="false">
      <c r="A501" s="5" t="s">
        <v>51</v>
      </c>
      <c r="B501" s="5" t="s">
        <v>52</v>
      </c>
      <c r="C501" s="5" t="s">
        <v>170</v>
      </c>
      <c r="D501" s="5" t="s">
        <v>182</v>
      </c>
      <c r="E501" s="5" t="s">
        <v>187</v>
      </c>
      <c r="F501" s="5" t="n">
        <v>0</v>
      </c>
      <c r="G501" s="5" t="n">
        <v>0</v>
      </c>
      <c r="H501" s="5" t="n">
        <f aca="false">G501-F501</f>
        <v>0</v>
      </c>
      <c r="I501" s="5" t="n">
        <f aca="false">ABS(H501)</f>
        <v>0</v>
      </c>
      <c r="J501" s="5" t="n">
        <f aca="false">IF(I501=0,1,0)</f>
        <v>1</v>
      </c>
      <c r="K501" s="5" t="n">
        <f aca="false">IF(I501&lt;=1,1,0)</f>
        <v>1</v>
      </c>
      <c r="L501" s="5" t="s">
        <v>71</v>
      </c>
      <c r="M501" s="5" t="s">
        <v>310</v>
      </c>
    </row>
    <row r="502" customFormat="false" ht="15" hidden="false" customHeight="false" outlineLevel="0" collapsed="false">
      <c r="A502" s="5" t="s">
        <v>51</v>
      </c>
      <c r="B502" s="5" t="s">
        <v>52</v>
      </c>
      <c r="C502" s="5" t="s">
        <v>170</v>
      </c>
      <c r="D502" s="5" t="s">
        <v>182</v>
      </c>
      <c r="E502" s="5" t="s">
        <v>188</v>
      </c>
      <c r="F502" s="5" t="n">
        <v>0</v>
      </c>
      <c r="G502" s="5" t="n">
        <v>0</v>
      </c>
      <c r="H502" s="5" t="n">
        <f aca="false">G502-F502</f>
        <v>0</v>
      </c>
      <c r="I502" s="5" t="n">
        <f aca="false">ABS(H502)</f>
        <v>0</v>
      </c>
      <c r="J502" s="5" t="n">
        <f aca="false">IF(I502=0,1,0)</f>
        <v>1</v>
      </c>
      <c r="K502" s="5" t="n">
        <f aca="false">IF(I502&lt;=1,1,0)</f>
        <v>1</v>
      </c>
      <c r="L502" s="5" t="s">
        <v>71</v>
      </c>
      <c r="M502" s="5" t="s">
        <v>310</v>
      </c>
    </row>
    <row r="503" customFormat="false" ht="15" hidden="false" customHeight="false" outlineLevel="0" collapsed="false">
      <c r="A503" s="5" t="s">
        <v>51</v>
      </c>
      <c r="B503" s="5" t="s">
        <v>52</v>
      </c>
      <c r="C503" s="5" t="s">
        <v>170</v>
      </c>
      <c r="D503" s="5" t="s">
        <v>114</v>
      </c>
      <c r="E503" s="5" t="s">
        <v>189</v>
      </c>
      <c r="F503" s="5" t="n">
        <v>0</v>
      </c>
      <c r="G503" s="5" t="n">
        <v>0</v>
      </c>
      <c r="H503" s="5" t="n">
        <f aca="false">G503-F503</f>
        <v>0</v>
      </c>
      <c r="I503" s="5" t="n">
        <f aca="false">ABS(H503)</f>
        <v>0</v>
      </c>
      <c r="J503" s="5" t="n">
        <f aca="false">IF(I503=0,1,0)</f>
        <v>1</v>
      </c>
      <c r="K503" s="5" t="n">
        <f aca="false">IF(I503&lt;=1,1,0)</f>
        <v>1</v>
      </c>
      <c r="L503" s="5" t="s">
        <v>71</v>
      </c>
      <c r="M503" s="5" t="s">
        <v>311</v>
      </c>
    </row>
    <row r="504" customFormat="false" ht="15" hidden="false" customHeight="false" outlineLevel="0" collapsed="false">
      <c r="A504" s="5" t="s">
        <v>51</v>
      </c>
      <c r="B504" s="5" t="s">
        <v>52</v>
      </c>
      <c r="C504" s="5" t="s">
        <v>170</v>
      </c>
      <c r="D504" s="5" t="s">
        <v>114</v>
      </c>
      <c r="E504" s="5" t="s">
        <v>191</v>
      </c>
      <c r="F504" s="5" t="n">
        <v>2</v>
      </c>
      <c r="G504" s="5" t="n">
        <v>2</v>
      </c>
      <c r="H504" s="5" t="n">
        <f aca="false">G504-F504</f>
        <v>0</v>
      </c>
      <c r="I504" s="5" t="n">
        <f aca="false">ABS(H504)</f>
        <v>0</v>
      </c>
      <c r="J504" s="5" t="n">
        <f aca="false">IF(I504=0,1,0)</f>
        <v>1</v>
      </c>
      <c r="K504" s="5" t="n">
        <f aca="false">IF(I504&lt;=1,1,0)</f>
        <v>1</v>
      </c>
      <c r="L504" s="5" t="s">
        <v>71</v>
      </c>
      <c r="M504" s="5" t="s">
        <v>311</v>
      </c>
    </row>
    <row r="505" customFormat="false" ht="15" hidden="false" customHeight="false" outlineLevel="0" collapsed="false">
      <c r="A505" s="5" t="s">
        <v>51</v>
      </c>
      <c r="B505" s="5" t="s">
        <v>52</v>
      </c>
      <c r="C505" s="5" t="s">
        <v>170</v>
      </c>
      <c r="D505" s="5" t="s">
        <v>114</v>
      </c>
      <c r="E505" s="5" t="s">
        <v>192</v>
      </c>
      <c r="F505" s="5" t="n">
        <v>0</v>
      </c>
      <c r="G505" s="5" t="n">
        <v>0</v>
      </c>
      <c r="H505" s="5" t="n">
        <f aca="false">G505-F505</f>
        <v>0</v>
      </c>
      <c r="I505" s="5" t="n">
        <f aca="false">ABS(H505)</f>
        <v>0</v>
      </c>
      <c r="J505" s="5" t="n">
        <f aca="false">IF(I505=0,1,0)</f>
        <v>1</v>
      </c>
      <c r="K505" s="5" t="n">
        <f aca="false">IF(I505&lt;=1,1,0)</f>
        <v>1</v>
      </c>
      <c r="L505" s="5" t="s">
        <v>71</v>
      </c>
      <c r="M505" s="5" t="s">
        <v>311</v>
      </c>
    </row>
    <row r="506" customFormat="false" ht="15" hidden="false" customHeight="false" outlineLevel="0" collapsed="false">
      <c r="A506" s="5" t="s">
        <v>51</v>
      </c>
      <c r="B506" s="5" t="s">
        <v>52</v>
      </c>
      <c r="C506" s="5" t="s">
        <v>170</v>
      </c>
      <c r="D506" s="5" t="s">
        <v>114</v>
      </c>
      <c r="E506" s="5" t="s">
        <v>193</v>
      </c>
      <c r="F506" s="5" t="n">
        <v>0</v>
      </c>
      <c r="G506" s="5" t="n">
        <v>0</v>
      </c>
      <c r="H506" s="5" t="n">
        <f aca="false">G506-F506</f>
        <v>0</v>
      </c>
      <c r="I506" s="5" t="n">
        <f aca="false">ABS(H506)</f>
        <v>0</v>
      </c>
      <c r="J506" s="5" t="n">
        <f aca="false">IF(I506=0,1,0)</f>
        <v>1</v>
      </c>
      <c r="K506" s="5" t="n">
        <f aca="false">IF(I506&lt;=1,1,0)</f>
        <v>1</v>
      </c>
      <c r="L506" s="5" t="s">
        <v>71</v>
      </c>
      <c r="M506" s="5" t="s">
        <v>311</v>
      </c>
    </row>
    <row r="507" customFormat="false" ht="15" hidden="false" customHeight="false" outlineLevel="0" collapsed="false">
      <c r="A507" s="16" t="s">
        <v>51</v>
      </c>
      <c r="B507" s="16" t="s">
        <v>52</v>
      </c>
      <c r="C507" s="16" t="s">
        <v>170</v>
      </c>
      <c r="D507" s="16" t="s">
        <v>114</v>
      </c>
      <c r="E507" s="16" t="s">
        <v>194</v>
      </c>
      <c r="F507" s="16" t="n">
        <v>2</v>
      </c>
      <c r="G507" s="16" t="n">
        <v>3</v>
      </c>
      <c r="H507" s="16" t="n">
        <f aca="false">G507-F507</f>
        <v>1</v>
      </c>
      <c r="I507" s="16" t="n">
        <f aca="false">ABS(H507)</f>
        <v>1</v>
      </c>
      <c r="J507" s="16" t="n">
        <f aca="false">IF(I507=0,1,0)</f>
        <v>0</v>
      </c>
      <c r="K507" s="16" t="n">
        <f aca="false">IF(I507&lt;=1,1,0)</f>
        <v>1</v>
      </c>
      <c r="L507" s="16" t="s">
        <v>76</v>
      </c>
      <c r="M507" s="16" t="s">
        <v>311</v>
      </c>
    </row>
    <row r="508" customFormat="false" ht="15" hidden="false" customHeight="false" outlineLevel="0" collapsed="false">
      <c r="A508" s="5" t="s">
        <v>51</v>
      </c>
      <c r="B508" s="5" t="s">
        <v>52</v>
      </c>
      <c r="C508" s="5" t="s">
        <v>195</v>
      </c>
      <c r="D508" s="5" t="s">
        <v>196</v>
      </c>
      <c r="E508" s="5" t="s">
        <v>197</v>
      </c>
      <c r="F508" s="5" t="n">
        <v>1</v>
      </c>
      <c r="G508" s="5" t="n">
        <v>1</v>
      </c>
      <c r="H508" s="5" t="n">
        <f aca="false">G508-F508</f>
        <v>0</v>
      </c>
      <c r="I508" s="5" t="n">
        <f aca="false">ABS(H508)</f>
        <v>0</v>
      </c>
      <c r="J508" s="5" t="n">
        <f aca="false">IF(I508=0,1,0)</f>
        <v>1</v>
      </c>
      <c r="K508" s="5" t="n">
        <f aca="false">IF(I508&lt;=1,1,0)</f>
        <v>1</v>
      </c>
      <c r="L508" s="5" t="s">
        <v>71</v>
      </c>
      <c r="M508" s="5" t="s">
        <v>312</v>
      </c>
    </row>
    <row r="509" customFormat="false" ht="15" hidden="false" customHeight="false" outlineLevel="0" collapsed="false">
      <c r="A509" s="5" t="s">
        <v>51</v>
      </c>
      <c r="B509" s="5" t="s">
        <v>52</v>
      </c>
      <c r="C509" s="5" t="s">
        <v>195</v>
      </c>
      <c r="D509" s="5" t="s">
        <v>196</v>
      </c>
      <c r="E509" s="5" t="s">
        <v>199</v>
      </c>
      <c r="F509" s="5" t="n">
        <v>1</v>
      </c>
      <c r="G509" s="5" t="n">
        <v>1</v>
      </c>
      <c r="H509" s="5" t="n">
        <f aca="false">G509-F509</f>
        <v>0</v>
      </c>
      <c r="I509" s="5" t="n">
        <f aca="false">ABS(H509)</f>
        <v>0</v>
      </c>
      <c r="J509" s="5" t="n">
        <f aca="false">IF(I509=0,1,0)</f>
        <v>1</v>
      </c>
      <c r="K509" s="5" t="n">
        <f aca="false">IF(I509&lt;=1,1,0)</f>
        <v>1</v>
      </c>
      <c r="L509" s="5" t="s">
        <v>71</v>
      </c>
      <c r="M509" s="5" t="s">
        <v>312</v>
      </c>
    </row>
    <row r="510" customFormat="false" ht="15" hidden="false" customHeight="false" outlineLevel="0" collapsed="false">
      <c r="A510" s="5" t="s">
        <v>51</v>
      </c>
      <c r="B510" s="5" t="s">
        <v>52</v>
      </c>
      <c r="C510" s="5" t="s">
        <v>195</v>
      </c>
      <c r="D510" s="5" t="s">
        <v>196</v>
      </c>
      <c r="E510" s="5" t="s">
        <v>200</v>
      </c>
      <c r="F510" s="5" t="n">
        <v>1</v>
      </c>
      <c r="G510" s="5" t="n">
        <v>1</v>
      </c>
      <c r="H510" s="5" t="n">
        <f aca="false">G510-F510</f>
        <v>0</v>
      </c>
      <c r="I510" s="5" t="n">
        <f aca="false">ABS(H510)</f>
        <v>0</v>
      </c>
      <c r="J510" s="5" t="n">
        <f aca="false">IF(I510=0,1,0)</f>
        <v>1</v>
      </c>
      <c r="K510" s="5" t="n">
        <f aca="false">IF(I510&lt;=1,1,0)</f>
        <v>1</v>
      </c>
      <c r="L510" s="5" t="s">
        <v>71</v>
      </c>
      <c r="M510" s="5" t="s">
        <v>312</v>
      </c>
    </row>
    <row r="511" customFormat="false" ht="15" hidden="false" customHeight="false" outlineLevel="0" collapsed="false">
      <c r="A511" s="5" t="s">
        <v>51</v>
      </c>
      <c r="B511" s="5" t="s">
        <v>52</v>
      </c>
      <c r="C511" s="5" t="s">
        <v>195</v>
      </c>
      <c r="D511" s="5" t="s">
        <v>196</v>
      </c>
      <c r="E511" s="5" t="s">
        <v>256</v>
      </c>
      <c r="F511" s="5" t="n">
        <v>1</v>
      </c>
      <c r="G511" s="5" t="n">
        <v>1</v>
      </c>
      <c r="H511" s="5" t="n">
        <f aca="false">G511-F511</f>
        <v>0</v>
      </c>
      <c r="I511" s="5" t="n">
        <f aca="false">ABS(H511)</f>
        <v>0</v>
      </c>
      <c r="J511" s="5" t="n">
        <f aca="false">IF(I511=0,1,0)</f>
        <v>1</v>
      </c>
      <c r="K511" s="5" t="n">
        <f aca="false">IF(I511&lt;=1,1,0)</f>
        <v>1</v>
      </c>
      <c r="L511" s="5" t="s">
        <v>71</v>
      </c>
      <c r="M511" s="5" t="s">
        <v>312</v>
      </c>
    </row>
    <row r="512" customFormat="false" ht="15" hidden="false" customHeight="false" outlineLevel="0" collapsed="false">
      <c r="A512" s="5" t="s">
        <v>51</v>
      </c>
      <c r="B512" s="5" t="s">
        <v>52</v>
      </c>
      <c r="C512" s="5" t="s">
        <v>195</v>
      </c>
      <c r="D512" s="5" t="s">
        <v>202</v>
      </c>
      <c r="E512" s="5" t="s">
        <v>203</v>
      </c>
      <c r="F512" s="5" t="n">
        <v>3</v>
      </c>
      <c r="G512" s="5" t="n">
        <v>3</v>
      </c>
      <c r="H512" s="5" t="n">
        <f aca="false">G512-F512</f>
        <v>0</v>
      </c>
      <c r="I512" s="5" t="n">
        <f aca="false">ABS(H512)</f>
        <v>0</v>
      </c>
      <c r="J512" s="5" t="n">
        <f aca="false">IF(I512=0,1,0)</f>
        <v>1</v>
      </c>
      <c r="K512" s="5" t="n">
        <f aca="false">IF(I512&lt;=1,1,0)</f>
        <v>1</v>
      </c>
      <c r="L512" s="5" t="s">
        <v>71</v>
      </c>
      <c r="M512" s="5" t="s">
        <v>313</v>
      </c>
    </row>
    <row r="513" customFormat="false" ht="15" hidden="false" customHeight="false" outlineLevel="0" collapsed="false">
      <c r="A513" s="5" t="s">
        <v>51</v>
      </c>
      <c r="B513" s="5" t="s">
        <v>52</v>
      </c>
      <c r="C513" s="5" t="s">
        <v>195</v>
      </c>
      <c r="D513" s="5" t="s">
        <v>202</v>
      </c>
      <c r="E513" s="5" t="s">
        <v>205</v>
      </c>
      <c r="F513" s="5" t="n">
        <v>3</v>
      </c>
      <c r="G513" s="5" t="n">
        <v>3</v>
      </c>
      <c r="H513" s="5" t="n">
        <f aca="false">G513-F513</f>
        <v>0</v>
      </c>
      <c r="I513" s="5" t="n">
        <f aca="false">ABS(H513)</f>
        <v>0</v>
      </c>
      <c r="J513" s="5" t="n">
        <f aca="false">IF(I513=0,1,0)</f>
        <v>1</v>
      </c>
      <c r="K513" s="5" t="n">
        <f aca="false">IF(I513&lt;=1,1,0)</f>
        <v>1</v>
      </c>
      <c r="L513" s="5" t="s">
        <v>71</v>
      </c>
      <c r="M513" s="5" t="s">
        <v>313</v>
      </c>
    </row>
    <row r="514" customFormat="false" ht="15" hidden="false" customHeight="false" outlineLevel="0" collapsed="false">
      <c r="A514" s="5" t="s">
        <v>51</v>
      </c>
      <c r="B514" s="5" t="s">
        <v>52</v>
      </c>
      <c r="C514" s="5" t="s">
        <v>195</v>
      </c>
      <c r="D514" s="5" t="s">
        <v>202</v>
      </c>
      <c r="E514" s="5" t="s">
        <v>206</v>
      </c>
      <c r="F514" s="5" t="n">
        <v>3</v>
      </c>
      <c r="G514" s="5" t="n">
        <v>3</v>
      </c>
      <c r="H514" s="5" t="n">
        <f aca="false">G514-F514</f>
        <v>0</v>
      </c>
      <c r="I514" s="5" t="n">
        <f aca="false">ABS(H514)</f>
        <v>0</v>
      </c>
      <c r="J514" s="5" t="n">
        <f aca="false">IF(I514=0,1,0)</f>
        <v>1</v>
      </c>
      <c r="K514" s="5" t="n">
        <f aca="false">IF(I514&lt;=1,1,0)</f>
        <v>1</v>
      </c>
      <c r="L514" s="5" t="s">
        <v>71</v>
      </c>
      <c r="M514" s="5" t="s">
        <v>313</v>
      </c>
    </row>
    <row r="515" customFormat="false" ht="15" hidden="false" customHeight="false" outlineLevel="0" collapsed="false">
      <c r="A515" s="5" t="s">
        <v>51</v>
      </c>
      <c r="B515" s="5" t="s">
        <v>52</v>
      </c>
      <c r="C515" s="5" t="s">
        <v>195</v>
      </c>
      <c r="D515" s="5" t="s">
        <v>202</v>
      </c>
      <c r="E515" s="5" t="s">
        <v>207</v>
      </c>
      <c r="F515" s="5" t="n">
        <v>3</v>
      </c>
      <c r="G515" s="5" t="n">
        <v>3</v>
      </c>
      <c r="H515" s="5" t="n">
        <f aca="false">G515-F515</f>
        <v>0</v>
      </c>
      <c r="I515" s="5" t="n">
        <f aca="false">ABS(H515)</f>
        <v>0</v>
      </c>
      <c r="J515" s="5" t="n">
        <f aca="false">IF(I515=0,1,0)</f>
        <v>1</v>
      </c>
      <c r="K515" s="5" t="n">
        <f aca="false">IF(I515&lt;=1,1,0)</f>
        <v>1</v>
      </c>
      <c r="L515" s="5" t="s">
        <v>71</v>
      </c>
      <c r="M515" s="5" t="s">
        <v>313</v>
      </c>
    </row>
    <row r="516" customFormat="false" ht="15" hidden="false" customHeight="false" outlineLevel="0" collapsed="false">
      <c r="A516" s="5" t="s">
        <v>51</v>
      </c>
      <c r="B516" s="5" t="s">
        <v>52</v>
      </c>
      <c r="C516" s="5" t="s">
        <v>195</v>
      </c>
      <c r="D516" s="5" t="s">
        <v>202</v>
      </c>
      <c r="E516" s="5" t="s">
        <v>208</v>
      </c>
      <c r="F516" s="5" t="n">
        <v>3</v>
      </c>
      <c r="G516" s="5" t="n">
        <v>3</v>
      </c>
      <c r="H516" s="5" t="n">
        <f aca="false">G516-F516</f>
        <v>0</v>
      </c>
      <c r="I516" s="5" t="n">
        <f aca="false">ABS(H516)</f>
        <v>0</v>
      </c>
      <c r="J516" s="5" t="n">
        <f aca="false">IF(I516=0,1,0)</f>
        <v>1</v>
      </c>
      <c r="K516" s="5" t="n">
        <f aca="false">IF(I516&lt;=1,1,0)</f>
        <v>1</v>
      </c>
      <c r="L516" s="5" t="s">
        <v>71</v>
      </c>
      <c r="M516" s="5" t="s">
        <v>313</v>
      </c>
    </row>
    <row r="517" customFormat="false" ht="15" hidden="false" customHeight="false" outlineLevel="0" collapsed="false">
      <c r="A517" s="5" t="s">
        <v>51</v>
      </c>
      <c r="B517" s="5" t="s">
        <v>52</v>
      </c>
      <c r="C517" s="5" t="s">
        <v>195</v>
      </c>
      <c r="D517" s="5" t="s">
        <v>202</v>
      </c>
      <c r="E517" s="5" t="s">
        <v>209</v>
      </c>
      <c r="F517" s="5" t="n">
        <v>3</v>
      </c>
      <c r="G517" s="5" t="n">
        <v>3</v>
      </c>
      <c r="H517" s="5" t="n">
        <f aca="false">G517-F517</f>
        <v>0</v>
      </c>
      <c r="I517" s="5" t="n">
        <f aca="false">ABS(H517)</f>
        <v>0</v>
      </c>
      <c r="J517" s="5" t="n">
        <f aca="false">IF(I517=0,1,0)</f>
        <v>1</v>
      </c>
      <c r="K517" s="5" t="n">
        <f aca="false">IF(I517&lt;=1,1,0)</f>
        <v>1</v>
      </c>
      <c r="L517" s="5" t="s">
        <v>71</v>
      </c>
      <c r="M517" s="5" t="s">
        <v>313</v>
      </c>
    </row>
    <row r="518" customFormat="false" ht="15" hidden="false" customHeight="false" outlineLevel="0" collapsed="false">
      <c r="A518" s="5" t="s">
        <v>51</v>
      </c>
      <c r="B518" s="5" t="s">
        <v>52</v>
      </c>
      <c r="C518" s="5" t="s">
        <v>195</v>
      </c>
      <c r="D518" s="5" t="s">
        <v>202</v>
      </c>
      <c r="E518" s="5" t="s">
        <v>210</v>
      </c>
      <c r="F518" s="5" t="n">
        <v>3</v>
      </c>
      <c r="G518" s="5" t="n">
        <v>3</v>
      </c>
      <c r="H518" s="5" t="n">
        <f aca="false">G518-F518</f>
        <v>0</v>
      </c>
      <c r="I518" s="5" t="n">
        <f aca="false">ABS(H518)</f>
        <v>0</v>
      </c>
      <c r="J518" s="5" t="n">
        <f aca="false">IF(I518=0,1,0)</f>
        <v>1</v>
      </c>
      <c r="K518" s="5" t="n">
        <f aca="false">IF(I518&lt;=1,1,0)</f>
        <v>1</v>
      </c>
      <c r="L518" s="5" t="s">
        <v>71</v>
      </c>
      <c r="M518" s="5" t="s">
        <v>313</v>
      </c>
    </row>
    <row r="519" customFormat="false" ht="15" hidden="false" customHeight="false" outlineLevel="0" collapsed="false">
      <c r="A519" s="5" t="s">
        <v>51</v>
      </c>
      <c r="B519" s="5" t="s">
        <v>52</v>
      </c>
      <c r="C519" s="5" t="s">
        <v>195</v>
      </c>
      <c r="D519" s="5" t="s">
        <v>202</v>
      </c>
      <c r="E519" s="5" t="s">
        <v>211</v>
      </c>
      <c r="F519" s="5" t="n">
        <v>3</v>
      </c>
      <c r="G519" s="5" t="n">
        <v>3</v>
      </c>
      <c r="H519" s="5" t="n">
        <f aca="false">G519-F519</f>
        <v>0</v>
      </c>
      <c r="I519" s="5" t="n">
        <f aca="false">ABS(H519)</f>
        <v>0</v>
      </c>
      <c r="J519" s="5" t="n">
        <f aca="false">IF(I519=0,1,0)</f>
        <v>1</v>
      </c>
      <c r="K519" s="5" t="n">
        <f aca="false">IF(I519&lt;=1,1,0)</f>
        <v>1</v>
      </c>
      <c r="L519" s="5" t="s">
        <v>71</v>
      </c>
      <c r="M519" s="5" t="s">
        <v>313</v>
      </c>
    </row>
    <row r="520" customFormat="false" ht="15" hidden="false" customHeight="false" outlineLevel="0" collapsed="false">
      <c r="A520" s="5" t="s">
        <v>51</v>
      </c>
      <c r="B520" s="5" t="s">
        <v>52</v>
      </c>
      <c r="C520" s="5" t="s">
        <v>195</v>
      </c>
      <c r="D520" s="5" t="s">
        <v>202</v>
      </c>
      <c r="E520" s="5" t="s">
        <v>212</v>
      </c>
      <c r="F520" s="5" t="n">
        <v>3</v>
      </c>
      <c r="G520" s="5" t="n">
        <v>3</v>
      </c>
      <c r="H520" s="5" t="n">
        <f aca="false">G520-F520</f>
        <v>0</v>
      </c>
      <c r="I520" s="5" t="n">
        <f aca="false">ABS(H520)</f>
        <v>0</v>
      </c>
      <c r="J520" s="5" t="n">
        <f aca="false">IF(I520=0,1,0)</f>
        <v>1</v>
      </c>
      <c r="K520" s="5" t="n">
        <f aca="false">IF(I520&lt;=1,1,0)</f>
        <v>1</v>
      </c>
      <c r="L520" s="5" t="s">
        <v>71</v>
      </c>
      <c r="M520" s="5" t="s">
        <v>313</v>
      </c>
    </row>
    <row r="521" customFormat="false" ht="15" hidden="false" customHeight="false" outlineLevel="0" collapsed="false">
      <c r="A521" s="5" t="s">
        <v>51</v>
      </c>
      <c r="B521" s="5" t="s">
        <v>52</v>
      </c>
      <c r="C521" s="5" t="s">
        <v>195</v>
      </c>
      <c r="D521" s="5" t="s">
        <v>202</v>
      </c>
      <c r="E521" s="5" t="s">
        <v>213</v>
      </c>
      <c r="F521" s="5" t="n">
        <v>2</v>
      </c>
      <c r="G521" s="5" t="n">
        <v>2</v>
      </c>
      <c r="H521" s="5" t="n">
        <f aca="false">G521-F521</f>
        <v>0</v>
      </c>
      <c r="I521" s="5" t="n">
        <f aca="false">ABS(H521)</f>
        <v>0</v>
      </c>
      <c r="J521" s="5" t="n">
        <f aca="false">IF(I521=0,1,0)</f>
        <v>1</v>
      </c>
      <c r="K521" s="5" t="n">
        <f aca="false">IF(I521&lt;=1,1,0)</f>
        <v>1</v>
      </c>
      <c r="L521" s="5" t="s">
        <v>71</v>
      </c>
      <c r="M521" s="5" t="s">
        <v>313</v>
      </c>
    </row>
    <row r="522" customFormat="false" ht="15" hidden="false" customHeight="false" outlineLevel="0" collapsed="false">
      <c r="A522" s="16" t="s">
        <v>51</v>
      </c>
      <c r="B522" s="16" t="s">
        <v>52</v>
      </c>
      <c r="C522" s="16" t="s">
        <v>195</v>
      </c>
      <c r="D522" s="16" t="s">
        <v>202</v>
      </c>
      <c r="E522" s="16" t="s">
        <v>214</v>
      </c>
      <c r="F522" s="16" t="n">
        <v>3</v>
      </c>
      <c r="G522" s="16" t="n">
        <v>0</v>
      </c>
      <c r="H522" s="16" t="n">
        <f aca="false">G522-F522</f>
        <v>-3</v>
      </c>
      <c r="I522" s="16" t="n">
        <f aca="false">ABS(H522)</f>
        <v>3</v>
      </c>
      <c r="J522" s="16" t="n">
        <f aca="false">IF(I522=0,1,0)</f>
        <v>0</v>
      </c>
      <c r="K522" s="16" t="n">
        <f aca="false">IF(I522&lt;=1,1,0)</f>
        <v>0</v>
      </c>
      <c r="L522" s="16" t="s">
        <v>76</v>
      </c>
      <c r="M522" s="16" t="s">
        <v>313</v>
      </c>
    </row>
    <row r="523" customFormat="false" ht="15" hidden="false" customHeight="false" outlineLevel="0" collapsed="false">
      <c r="A523" s="5" t="s">
        <v>51</v>
      </c>
      <c r="B523" s="5" t="s">
        <v>52</v>
      </c>
      <c r="C523" s="5" t="s">
        <v>195</v>
      </c>
      <c r="D523" s="5" t="s">
        <v>202</v>
      </c>
      <c r="E523" s="5" t="s">
        <v>215</v>
      </c>
      <c r="F523" s="5" t="n">
        <v>3</v>
      </c>
      <c r="G523" s="5" t="n">
        <v>3</v>
      </c>
      <c r="H523" s="5" t="n">
        <f aca="false">G523-F523</f>
        <v>0</v>
      </c>
      <c r="I523" s="5" t="n">
        <f aca="false">ABS(H523)</f>
        <v>0</v>
      </c>
      <c r="J523" s="5" t="n">
        <f aca="false">IF(I523=0,1,0)</f>
        <v>1</v>
      </c>
      <c r="K523" s="5" t="n">
        <f aca="false">IF(I523&lt;=1,1,0)</f>
        <v>1</v>
      </c>
      <c r="L523" s="5" t="s">
        <v>71</v>
      </c>
      <c r="M523" s="5" t="s">
        <v>313</v>
      </c>
    </row>
    <row r="524" customFormat="false" ht="15" hidden="false" customHeight="false" outlineLevel="0" collapsed="false">
      <c r="A524" s="5" t="s">
        <v>51</v>
      </c>
      <c r="B524" s="5" t="s">
        <v>52</v>
      </c>
      <c r="C524" s="5" t="s">
        <v>195</v>
      </c>
      <c r="D524" s="5" t="s">
        <v>202</v>
      </c>
      <c r="E524" s="5" t="s">
        <v>216</v>
      </c>
      <c r="F524" s="5" t="n">
        <v>0</v>
      </c>
      <c r="G524" s="5" t="n">
        <v>0</v>
      </c>
      <c r="H524" s="5" t="n">
        <f aca="false">G524-F524</f>
        <v>0</v>
      </c>
      <c r="I524" s="5" t="n">
        <f aca="false">ABS(H524)</f>
        <v>0</v>
      </c>
      <c r="J524" s="5" t="n">
        <f aca="false">IF(I524=0,1,0)</f>
        <v>1</v>
      </c>
      <c r="K524" s="5" t="n">
        <f aca="false">IF(I524&lt;=1,1,0)</f>
        <v>1</v>
      </c>
      <c r="L524" s="5" t="s">
        <v>71</v>
      </c>
      <c r="M524" s="5" t="s">
        <v>313</v>
      </c>
    </row>
    <row r="525" customFormat="false" ht="15" hidden="false" customHeight="false" outlineLevel="0" collapsed="false">
      <c r="A525" s="5" t="s">
        <v>51</v>
      </c>
      <c r="B525" s="5" t="s">
        <v>52</v>
      </c>
      <c r="C525" s="5" t="s">
        <v>195</v>
      </c>
      <c r="D525" s="5" t="s">
        <v>202</v>
      </c>
      <c r="E525" s="5" t="s">
        <v>217</v>
      </c>
      <c r="F525" s="5" t="n">
        <v>1</v>
      </c>
      <c r="G525" s="5" t="n">
        <v>1</v>
      </c>
      <c r="H525" s="5" t="n">
        <f aca="false">G525-F525</f>
        <v>0</v>
      </c>
      <c r="I525" s="5" t="n">
        <f aca="false">ABS(H525)</f>
        <v>0</v>
      </c>
      <c r="J525" s="5" t="n">
        <f aca="false">IF(I525=0,1,0)</f>
        <v>1</v>
      </c>
      <c r="K525" s="5" t="n">
        <f aca="false">IF(I525&lt;=1,1,0)</f>
        <v>1</v>
      </c>
      <c r="L525" s="5" t="s">
        <v>71</v>
      </c>
      <c r="M525" s="5" t="s">
        <v>313</v>
      </c>
    </row>
    <row r="526" customFormat="false" ht="15" hidden="false" customHeight="false" outlineLevel="0" collapsed="false">
      <c r="A526" s="16" t="s">
        <v>51</v>
      </c>
      <c r="B526" s="16" t="s">
        <v>52</v>
      </c>
      <c r="C526" s="16" t="s">
        <v>195</v>
      </c>
      <c r="D526" s="16" t="s">
        <v>202</v>
      </c>
      <c r="E526" s="16" t="s">
        <v>218</v>
      </c>
      <c r="F526" s="16" t="n">
        <v>2</v>
      </c>
      <c r="G526" s="16" t="n">
        <v>0</v>
      </c>
      <c r="H526" s="16" t="n">
        <f aca="false">G526-F526</f>
        <v>-2</v>
      </c>
      <c r="I526" s="16" t="n">
        <f aca="false">ABS(H526)</f>
        <v>2</v>
      </c>
      <c r="J526" s="16" t="n">
        <f aca="false">IF(I526=0,1,0)</f>
        <v>0</v>
      </c>
      <c r="K526" s="16" t="n">
        <f aca="false">IF(I526&lt;=1,1,0)</f>
        <v>0</v>
      </c>
      <c r="L526" s="16" t="s">
        <v>76</v>
      </c>
      <c r="M526" s="16" t="s">
        <v>313</v>
      </c>
    </row>
    <row r="527" customFormat="false" ht="15" hidden="false" customHeight="false" outlineLevel="0" collapsed="false">
      <c r="A527" s="16" t="s">
        <v>51</v>
      </c>
      <c r="B527" s="16" t="s">
        <v>52</v>
      </c>
      <c r="C527" s="16" t="s">
        <v>195</v>
      </c>
      <c r="D527" s="16" t="s">
        <v>202</v>
      </c>
      <c r="E527" s="16" t="s">
        <v>219</v>
      </c>
      <c r="F527" s="16" t="n">
        <v>0</v>
      </c>
      <c r="G527" s="16" t="n">
        <v>1</v>
      </c>
      <c r="H527" s="16" t="n">
        <f aca="false">G527-F527</f>
        <v>1</v>
      </c>
      <c r="I527" s="16" t="n">
        <f aca="false">ABS(H527)</f>
        <v>1</v>
      </c>
      <c r="J527" s="16" t="n">
        <f aca="false">IF(I527=0,1,0)</f>
        <v>0</v>
      </c>
      <c r="K527" s="16" t="n">
        <f aca="false">IF(I527&lt;=1,1,0)</f>
        <v>1</v>
      </c>
      <c r="L527" s="16" t="s">
        <v>76</v>
      </c>
      <c r="M527" s="16" t="s">
        <v>313</v>
      </c>
    </row>
    <row r="528" customFormat="false" ht="15" hidden="false" customHeight="false" outlineLevel="0" collapsed="false">
      <c r="A528" s="5" t="s">
        <v>51</v>
      </c>
      <c r="B528" s="5" t="s">
        <v>52</v>
      </c>
      <c r="C528" s="5" t="s">
        <v>195</v>
      </c>
      <c r="D528" s="5" t="s">
        <v>202</v>
      </c>
      <c r="E528" s="5" t="s">
        <v>220</v>
      </c>
      <c r="F528" s="5" t="n">
        <v>3</v>
      </c>
      <c r="G528" s="5" t="n">
        <v>3</v>
      </c>
      <c r="H528" s="5" t="n">
        <f aca="false">G528-F528</f>
        <v>0</v>
      </c>
      <c r="I528" s="5" t="n">
        <f aca="false">ABS(H528)</f>
        <v>0</v>
      </c>
      <c r="J528" s="5" t="n">
        <f aca="false">IF(I528=0,1,0)</f>
        <v>1</v>
      </c>
      <c r="K528" s="5" t="n">
        <f aca="false">IF(I528&lt;=1,1,0)</f>
        <v>1</v>
      </c>
      <c r="L528" s="5" t="s">
        <v>71</v>
      </c>
      <c r="M528" s="5" t="s">
        <v>313</v>
      </c>
    </row>
    <row r="529" customFormat="false" ht="15" hidden="false" customHeight="false" outlineLevel="0" collapsed="false">
      <c r="A529" s="16" t="s">
        <v>51</v>
      </c>
      <c r="B529" s="16" t="s">
        <v>52</v>
      </c>
      <c r="C529" s="16" t="s">
        <v>195</v>
      </c>
      <c r="D529" s="16" t="s">
        <v>202</v>
      </c>
      <c r="E529" s="16" t="s">
        <v>221</v>
      </c>
      <c r="F529" s="16" t="n">
        <v>3</v>
      </c>
      <c r="G529" s="16" t="n">
        <v>0</v>
      </c>
      <c r="H529" s="16" t="n">
        <f aca="false">G529-F529</f>
        <v>-3</v>
      </c>
      <c r="I529" s="16" t="n">
        <f aca="false">ABS(H529)</f>
        <v>3</v>
      </c>
      <c r="J529" s="16" t="n">
        <f aca="false">IF(I529=0,1,0)</f>
        <v>0</v>
      </c>
      <c r="K529" s="16" t="n">
        <f aca="false">IF(I529&lt;=1,1,0)</f>
        <v>0</v>
      </c>
      <c r="L529" s="16" t="s">
        <v>76</v>
      </c>
      <c r="M529" s="16" t="s">
        <v>313</v>
      </c>
    </row>
    <row r="530" customFormat="false" ht="15" hidden="false" customHeight="false" outlineLevel="0" collapsed="false">
      <c r="A530" s="5" t="s">
        <v>51</v>
      </c>
      <c r="B530" s="5" t="s">
        <v>52</v>
      </c>
      <c r="C530" s="5" t="s">
        <v>195</v>
      </c>
      <c r="D530" s="5" t="s">
        <v>202</v>
      </c>
      <c r="E530" s="5" t="s">
        <v>222</v>
      </c>
      <c r="F530" s="5" t="n">
        <v>3</v>
      </c>
      <c r="G530" s="5" t="n">
        <v>3</v>
      </c>
      <c r="H530" s="5" t="n">
        <f aca="false">G530-F530</f>
        <v>0</v>
      </c>
      <c r="I530" s="5" t="n">
        <f aca="false">ABS(H530)</f>
        <v>0</v>
      </c>
      <c r="J530" s="5" t="n">
        <f aca="false">IF(I530=0,1,0)</f>
        <v>1</v>
      </c>
      <c r="K530" s="5" t="n">
        <f aca="false">IF(I530&lt;=1,1,0)</f>
        <v>1</v>
      </c>
      <c r="L530" s="5" t="s">
        <v>71</v>
      </c>
      <c r="M530" s="5" t="s">
        <v>313</v>
      </c>
    </row>
    <row r="531" customFormat="false" ht="15" hidden="false" customHeight="false" outlineLevel="0" collapsed="false">
      <c r="A531" s="5" t="s">
        <v>51</v>
      </c>
      <c r="B531" s="5" t="s">
        <v>52</v>
      </c>
      <c r="C531" s="5" t="s">
        <v>195</v>
      </c>
      <c r="D531" s="5" t="s">
        <v>202</v>
      </c>
      <c r="E531" s="5" t="s">
        <v>223</v>
      </c>
      <c r="F531" s="5" t="n">
        <v>3</v>
      </c>
      <c r="G531" s="5" t="n">
        <v>3</v>
      </c>
      <c r="H531" s="5" t="n">
        <f aca="false">G531-F531</f>
        <v>0</v>
      </c>
      <c r="I531" s="5" t="n">
        <f aca="false">ABS(H531)</f>
        <v>0</v>
      </c>
      <c r="J531" s="5" t="n">
        <f aca="false">IF(I531=0,1,0)</f>
        <v>1</v>
      </c>
      <c r="K531" s="5" t="n">
        <f aca="false">IF(I531&lt;=1,1,0)</f>
        <v>1</v>
      </c>
      <c r="L531" s="5" t="s">
        <v>71</v>
      </c>
      <c r="M531" s="5" t="s">
        <v>313</v>
      </c>
    </row>
    <row r="532" customFormat="false" ht="15" hidden="false" customHeight="false" outlineLevel="0" collapsed="false">
      <c r="A532" s="16" t="s">
        <v>53</v>
      </c>
      <c r="B532" s="16" t="s">
        <v>52</v>
      </c>
      <c r="C532" s="16" t="s">
        <v>84</v>
      </c>
      <c r="D532" s="16" t="s">
        <v>69</v>
      </c>
      <c r="E532" s="16" t="s">
        <v>85</v>
      </c>
      <c r="F532" s="16" t="n">
        <v>3</v>
      </c>
      <c r="G532" s="16" t="n">
        <v>2</v>
      </c>
      <c r="H532" s="16" t="n">
        <f aca="false">G532-F532</f>
        <v>-1</v>
      </c>
      <c r="I532" s="16" t="n">
        <f aca="false">ABS(H532)</f>
        <v>1</v>
      </c>
      <c r="J532" s="16" t="n">
        <f aca="false">IF(I532=0,1,0)</f>
        <v>0</v>
      </c>
      <c r="K532" s="16" t="n">
        <f aca="false">IF(I532&lt;=1,1,0)</f>
        <v>1</v>
      </c>
      <c r="L532" s="16" t="s">
        <v>76</v>
      </c>
      <c r="M532" s="16" t="s">
        <v>314</v>
      </c>
    </row>
    <row r="533" customFormat="false" ht="15" hidden="false" customHeight="false" outlineLevel="0" collapsed="false">
      <c r="A533" s="16" t="s">
        <v>53</v>
      </c>
      <c r="B533" s="16" t="s">
        <v>52</v>
      </c>
      <c r="C533" s="16" t="s">
        <v>84</v>
      </c>
      <c r="D533" s="16" t="s">
        <v>87</v>
      </c>
      <c r="E533" s="16" t="s">
        <v>88</v>
      </c>
      <c r="F533" s="16" t="n">
        <v>3</v>
      </c>
      <c r="G533" s="16" t="n">
        <v>1</v>
      </c>
      <c r="H533" s="16" t="n">
        <f aca="false">G533-F533</f>
        <v>-2</v>
      </c>
      <c r="I533" s="16" t="n">
        <f aca="false">ABS(H533)</f>
        <v>2</v>
      </c>
      <c r="J533" s="16" t="n">
        <f aca="false">IF(I533=0,1,0)</f>
        <v>0</v>
      </c>
      <c r="K533" s="16" t="n">
        <f aca="false">IF(I533&lt;=1,1,0)</f>
        <v>0</v>
      </c>
      <c r="L533" s="16" t="s">
        <v>76</v>
      </c>
      <c r="M533" s="16" t="s">
        <v>315</v>
      </c>
    </row>
    <row r="534" customFormat="false" ht="15" hidden="false" customHeight="false" outlineLevel="0" collapsed="false">
      <c r="A534" s="16" t="s">
        <v>53</v>
      </c>
      <c r="B534" s="16" t="s">
        <v>52</v>
      </c>
      <c r="C534" s="16" t="s">
        <v>84</v>
      </c>
      <c r="D534" s="16" t="s">
        <v>87</v>
      </c>
      <c r="E534" s="16" t="s">
        <v>90</v>
      </c>
      <c r="F534" s="16" t="n">
        <v>0</v>
      </c>
      <c r="G534" s="16" t="n">
        <v>3</v>
      </c>
      <c r="H534" s="16" t="n">
        <f aca="false">G534-F534</f>
        <v>3</v>
      </c>
      <c r="I534" s="16" t="n">
        <f aca="false">ABS(H534)</f>
        <v>3</v>
      </c>
      <c r="J534" s="16" t="n">
        <f aca="false">IF(I534=0,1,0)</f>
        <v>0</v>
      </c>
      <c r="K534" s="16" t="n">
        <f aca="false">IF(I534&lt;=1,1,0)</f>
        <v>0</v>
      </c>
      <c r="L534" s="16" t="s">
        <v>76</v>
      </c>
      <c r="M534" s="16" t="s">
        <v>315</v>
      </c>
    </row>
    <row r="535" customFormat="false" ht="15" hidden="false" customHeight="false" outlineLevel="0" collapsed="false">
      <c r="A535" s="16" t="s">
        <v>53</v>
      </c>
      <c r="B535" s="16" t="s">
        <v>52</v>
      </c>
      <c r="C535" s="16" t="s">
        <v>84</v>
      </c>
      <c r="D535" s="16" t="s">
        <v>87</v>
      </c>
      <c r="E535" s="16" t="s">
        <v>91</v>
      </c>
      <c r="F535" s="16" t="n">
        <v>2</v>
      </c>
      <c r="G535" s="16" t="n">
        <v>1</v>
      </c>
      <c r="H535" s="16" t="n">
        <f aca="false">G535-F535</f>
        <v>-1</v>
      </c>
      <c r="I535" s="16" t="n">
        <f aca="false">ABS(H535)</f>
        <v>1</v>
      </c>
      <c r="J535" s="16" t="n">
        <f aca="false">IF(I535=0,1,0)</f>
        <v>0</v>
      </c>
      <c r="K535" s="16" t="n">
        <f aca="false">IF(I535&lt;=1,1,0)</f>
        <v>1</v>
      </c>
      <c r="L535" s="16" t="s">
        <v>76</v>
      </c>
      <c r="M535" s="16" t="s">
        <v>315</v>
      </c>
    </row>
    <row r="536" customFormat="false" ht="15" hidden="false" customHeight="false" outlineLevel="0" collapsed="false">
      <c r="A536" s="16" t="s">
        <v>53</v>
      </c>
      <c r="B536" s="16" t="s">
        <v>52</v>
      </c>
      <c r="C536" s="16" t="s">
        <v>84</v>
      </c>
      <c r="D536" s="16" t="s">
        <v>87</v>
      </c>
      <c r="E536" s="16" t="s">
        <v>92</v>
      </c>
      <c r="F536" s="16" t="n">
        <v>3</v>
      </c>
      <c r="G536" s="16" t="n">
        <v>1</v>
      </c>
      <c r="H536" s="16" t="n">
        <f aca="false">G536-F536</f>
        <v>-2</v>
      </c>
      <c r="I536" s="16" t="n">
        <f aca="false">ABS(H536)</f>
        <v>2</v>
      </c>
      <c r="J536" s="16" t="n">
        <f aca="false">IF(I536=0,1,0)</f>
        <v>0</v>
      </c>
      <c r="K536" s="16" t="n">
        <f aca="false">IF(I536&lt;=1,1,0)</f>
        <v>0</v>
      </c>
      <c r="L536" s="16" t="s">
        <v>76</v>
      </c>
      <c r="M536" s="16" t="s">
        <v>315</v>
      </c>
    </row>
    <row r="537" customFormat="false" ht="15" hidden="false" customHeight="false" outlineLevel="0" collapsed="false">
      <c r="A537" s="16" t="s">
        <v>53</v>
      </c>
      <c r="B537" s="16" t="s">
        <v>52</v>
      </c>
      <c r="C537" s="16" t="s">
        <v>84</v>
      </c>
      <c r="D537" s="16" t="s">
        <v>87</v>
      </c>
      <c r="E537" s="16" t="s">
        <v>93</v>
      </c>
      <c r="F537" s="16" t="n">
        <v>3</v>
      </c>
      <c r="G537" s="16" t="n">
        <v>1</v>
      </c>
      <c r="H537" s="16" t="n">
        <f aca="false">G537-F537</f>
        <v>-2</v>
      </c>
      <c r="I537" s="16" t="n">
        <f aca="false">ABS(H537)</f>
        <v>2</v>
      </c>
      <c r="J537" s="16" t="n">
        <f aca="false">IF(I537=0,1,0)</f>
        <v>0</v>
      </c>
      <c r="K537" s="16" t="n">
        <f aca="false">IF(I537&lt;=1,1,0)</f>
        <v>0</v>
      </c>
      <c r="L537" s="16" t="s">
        <v>76</v>
      </c>
      <c r="M537" s="16" t="s">
        <v>315</v>
      </c>
    </row>
    <row r="538" customFormat="false" ht="15" hidden="false" customHeight="false" outlineLevel="0" collapsed="false">
      <c r="A538" s="16" t="s">
        <v>53</v>
      </c>
      <c r="B538" s="16" t="s">
        <v>52</v>
      </c>
      <c r="C538" s="16" t="s">
        <v>84</v>
      </c>
      <c r="D538" s="16" t="s">
        <v>87</v>
      </c>
      <c r="E538" s="16" t="s">
        <v>94</v>
      </c>
      <c r="F538" s="16" t="n">
        <v>3</v>
      </c>
      <c r="G538" s="16" t="n">
        <v>2</v>
      </c>
      <c r="H538" s="16" t="n">
        <f aca="false">G538-F538</f>
        <v>-1</v>
      </c>
      <c r="I538" s="16" t="n">
        <f aca="false">ABS(H538)</f>
        <v>1</v>
      </c>
      <c r="J538" s="16" t="n">
        <f aca="false">IF(I538=0,1,0)</f>
        <v>0</v>
      </c>
      <c r="K538" s="16" t="n">
        <f aca="false">IF(I538&lt;=1,1,0)</f>
        <v>1</v>
      </c>
      <c r="L538" s="16" t="s">
        <v>76</v>
      </c>
      <c r="M538" s="16" t="s">
        <v>315</v>
      </c>
    </row>
    <row r="539" customFormat="false" ht="15" hidden="false" customHeight="false" outlineLevel="0" collapsed="false">
      <c r="A539" s="5" t="s">
        <v>53</v>
      </c>
      <c r="B539" s="5" t="s">
        <v>52</v>
      </c>
      <c r="C539" s="5" t="s">
        <v>84</v>
      </c>
      <c r="D539" s="5" t="s">
        <v>87</v>
      </c>
      <c r="E539" s="5" t="s">
        <v>95</v>
      </c>
      <c r="F539" s="5" t="n">
        <v>2</v>
      </c>
      <c r="G539" s="5" t="n">
        <v>2</v>
      </c>
      <c r="H539" s="5" t="n">
        <f aca="false">G539-F539</f>
        <v>0</v>
      </c>
      <c r="I539" s="5" t="n">
        <f aca="false">ABS(H539)</f>
        <v>0</v>
      </c>
      <c r="J539" s="5" t="n">
        <f aca="false">IF(I539=0,1,0)</f>
        <v>1</v>
      </c>
      <c r="K539" s="5" t="n">
        <f aca="false">IF(I539&lt;=1,1,0)</f>
        <v>1</v>
      </c>
      <c r="L539" s="5" t="s">
        <v>71</v>
      </c>
      <c r="M539" s="5" t="s">
        <v>315</v>
      </c>
    </row>
    <row r="540" customFormat="false" ht="15" hidden="false" customHeight="false" outlineLevel="0" collapsed="false">
      <c r="A540" s="5" t="s">
        <v>53</v>
      </c>
      <c r="B540" s="5" t="s">
        <v>52</v>
      </c>
      <c r="C540" s="5" t="s">
        <v>84</v>
      </c>
      <c r="D540" s="5" t="s">
        <v>96</v>
      </c>
      <c r="E540" s="5" t="s">
        <v>88</v>
      </c>
      <c r="F540" s="5" t="n">
        <v>3</v>
      </c>
      <c r="G540" s="5" t="n">
        <v>3</v>
      </c>
      <c r="H540" s="5" t="n">
        <f aca="false">G540-F540</f>
        <v>0</v>
      </c>
      <c r="I540" s="5" t="n">
        <f aca="false">ABS(H540)</f>
        <v>0</v>
      </c>
      <c r="J540" s="5" t="n">
        <f aca="false">IF(I540=0,1,0)</f>
        <v>1</v>
      </c>
      <c r="K540" s="5" t="n">
        <f aca="false">IF(I540&lt;=1,1,0)</f>
        <v>1</v>
      </c>
      <c r="L540" s="5" t="s">
        <v>71</v>
      </c>
      <c r="M540" s="5" t="s">
        <v>316</v>
      </c>
    </row>
    <row r="541" customFormat="false" ht="15" hidden="false" customHeight="false" outlineLevel="0" collapsed="false">
      <c r="A541" s="5" t="s">
        <v>53</v>
      </c>
      <c r="B541" s="5" t="s">
        <v>52</v>
      </c>
      <c r="C541" s="5" t="s">
        <v>84</v>
      </c>
      <c r="D541" s="5" t="s">
        <v>96</v>
      </c>
      <c r="E541" s="5" t="s">
        <v>98</v>
      </c>
      <c r="F541" s="5" t="n">
        <v>2</v>
      </c>
      <c r="G541" s="5" t="n">
        <v>2</v>
      </c>
      <c r="H541" s="5" t="n">
        <f aca="false">G541-F541</f>
        <v>0</v>
      </c>
      <c r="I541" s="5" t="n">
        <f aca="false">ABS(H541)</f>
        <v>0</v>
      </c>
      <c r="J541" s="5" t="n">
        <f aca="false">IF(I541=0,1,0)</f>
        <v>1</v>
      </c>
      <c r="K541" s="5" t="n">
        <f aca="false">IF(I541&lt;=1,1,0)</f>
        <v>1</v>
      </c>
      <c r="L541" s="5" t="s">
        <v>71</v>
      </c>
      <c r="M541" s="5" t="s">
        <v>316</v>
      </c>
    </row>
    <row r="542" customFormat="false" ht="15" hidden="false" customHeight="false" outlineLevel="0" collapsed="false">
      <c r="A542" s="5" t="s">
        <v>53</v>
      </c>
      <c r="B542" s="5" t="s">
        <v>52</v>
      </c>
      <c r="C542" s="5" t="s">
        <v>84</v>
      </c>
      <c r="D542" s="5" t="s">
        <v>96</v>
      </c>
      <c r="E542" s="5" t="s">
        <v>99</v>
      </c>
      <c r="F542" s="5" t="n">
        <v>3</v>
      </c>
      <c r="G542" s="5" t="n">
        <v>3</v>
      </c>
      <c r="H542" s="5" t="n">
        <f aca="false">G542-F542</f>
        <v>0</v>
      </c>
      <c r="I542" s="5" t="n">
        <f aca="false">ABS(H542)</f>
        <v>0</v>
      </c>
      <c r="J542" s="5" t="n">
        <f aca="false">IF(I542=0,1,0)</f>
        <v>1</v>
      </c>
      <c r="K542" s="5" t="n">
        <f aca="false">IF(I542&lt;=1,1,0)</f>
        <v>1</v>
      </c>
      <c r="L542" s="5" t="s">
        <v>71</v>
      </c>
      <c r="M542" s="5" t="s">
        <v>316</v>
      </c>
    </row>
    <row r="543" customFormat="false" ht="15" hidden="false" customHeight="false" outlineLevel="0" collapsed="false">
      <c r="A543" s="5" t="s">
        <v>53</v>
      </c>
      <c r="B543" s="5" t="s">
        <v>52</v>
      </c>
      <c r="C543" s="5" t="s">
        <v>84</v>
      </c>
      <c r="D543" s="5" t="s">
        <v>96</v>
      </c>
      <c r="E543" s="5" t="s">
        <v>93</v>
      </c>
      <c r="F543" s="5" t="n">
        <v>3</v>
      </c>
      <c r="G543" s="5" t="n">
        <v>3</v>
      </c>
      <c r="H543" s="5" t="n">
        <f aca="false">G543-F543</f>
        <v>0</v>
      </c>
      <c r="I543" s="5" t="n">
        <f aca="false">ABS(H543)</f>
        <v>0</v>
      </c>
      <c r="J543" s="5" t="n">
        <f aca="false">IF(I543=0,1,0)</f>
        <v>1</v>
      </c>
      <c r="K543" s="5" t="n">
        <f aca="false">IF(I543&lt;=1,1,0)</f>
        <v>1</v>
      </c>
      <c r="L543" s="5" t="s">
        <v>71</v>
      </c>
      <c r="M543" s="5" t="s">
        <v>316</v>
      </c>
    </row>
    <row r="544" customFormat="false" ht="15" hidden="false" customHeight="false" outlineLevel="0" collapsed="false">
      <c r="A544" s="5" t="s">
        <v>53</v>
      </c>
      <c r="B544" s="5" t="s">
        <v>52</v>
      </c>
      <c r="C544" s="5" t="s">
        <v>84</v>
      </c>
      <c r="D544" s="5" t="s">
        <v>96</v>
      </c>
      <c r="E544" s="5" t="s">
        <v>95</v>
      </c>
      <c r="F544" s="5" t="n">
        <v>2</v>
      </c>
      <c r="G544" s="5" t="n">
        <v>2</v>
      </c>
      <c r="H544" s="5" t="n">
        <f aca="false">G544-F544</f>
        <v>0</v>
      </c>
      <c r="I544" s="5" t="n">
        <f aca="false">ABS(H544)</f>
        <v>0</v>
      </c>
      <c r="J544" s="5" t="n">
        <f aca="false">IF(I544=0,1,0)</f>
        <v>1</v>
      </c>
      <c r="K544" s="5" t="n">
        <f aca="false">IF(I544&lt;=1,1,0)</f>
        <v>1</v>
      </c>
      <c r="L544" s="5" t="s">
        <v>71</v>
      </c>
      <c r="M544" s="5" t="s">
        <v>316</v>
      </c>
    </row>
    <row r="545" customFormat="false" ht="15" hidden="false" customHeight="false" outlineLevel="0" collapsed="false">
      <c r="A545" s="5" t="s">
        <v>53</v>
      </c>
      <c r="B545" s="5" t="s">
        <v>52</v>
      </c>
      <c r="C545" s="5" t="s">
        <v>100</v>
      </c>
      <c r="D545" s="5" t="s">
        <v>69</v>
      </c>
      <c r="E545" s="5" t="s">
        <v>101</v>
      </c>
      <c r="F545" s="5" t="n">
        <v>0</v>
      </c>
      <c r="G545" s="5" t="n">
        <v>0</v>
      </c>
      <c r="H545" s="5" t="n">
        <f aca="false">G545-F545</f>
        <v>0</v>
      </c>
      <c r="I545" s="5" t="n">
        <f aca="false">ABS(H545)</f>
        <v>0</v>
      </c>
      <c r="J545" s="5" t="n">
        <f aca="false">IF(I545=0,1,0)</f>
        <v>1</v>
      </c>
      <c r="K545" s="5" t="n">
        <f aca="false">IF(I545&lt;=1,1,0)</f>
        <v>1</v>
      </c>
      <c r="L545" s="5" t="s">
        <v>71</v>
      </c>
      <c r="M545" s="5" t="s">
        <v>317</v>
      </c>
    </row>
    <row r="546" customFormat="false" ht="15" hidden="false" customHeight="false" outlineLevel="0" collapsed="false">
      <c r="A546" s="5" t="s">
        <v>53</v>
      </c>
      <c r="B546" s="5" t="s">
        <v>52</v>
      </c>
      <c r="C546" s="5" t="s">
        <v>100</v>
      </c>
      <c r="D546" s="5" t="s">
        <v>69</v>
      </c>
      <c r="E546" s="5" t="s">
        <v>103</v>
      </c>
      <c r="F546" s="5" t="n">
        <v>3</v>
      </c>
      <c r="G546" s="5" t="n">
        <v>3</v>
      </c>
      <c r="H546" s="5" t="n">
        <f aca="false">G546-F546</f>
        <v>0</v>
      </c>
      <c r="I546" s="5" t="n">
        <f aca="false">ABS(H546)</f>
        <v>0</v>
      </c>
      <c r="J546" s="5" t="n">
        <f aca="false">IF(I546=0,1,0)</f>
        <v>1</v>
      </c>
      <c r="K546" s="5" t="n">
        <f aca="false">IF(I546&lt;=1,1,0)</f>
        <v>1</v>
      </c>
      <c r="L546" s="5" t="s">
        <v>71</v>
      </c>
      <c r="M546" s="5" t="s">
        <v>317</v>
      </c>
    </row>
    <row r="547" customFormat="false" ht="15" hidden="false" customHeight="false" outlineLevel="0" collapsed="false">
      <c r="A547" s="5" t="s">
        <v>53</v>
      </c>
      <c r="B547" s="5" t="s">
        <v>52</v>
      </c>
      <c r="C547" s="5" t="s">
        <v>100</v>
      </c>
      <c r="D547" s="5" t="s">
        <v>69</v>
      </c>
      <c r="E547" s="5" t="s">
        <v>265</v>
      </c>
      <c r="F547" s="5" t="n">
        <v>3</v>
      </c>
      <c r="G547" s="5" t="n">
        <v>3</v>
      </c>
      <c r="H547" s="5" t="n">
        <f aca="false">G547-F547</f>
        <v>0</v>
      </c>
      <c r="I547" s="5" t="n">
        <f aca="false">ABS(H547)</f>
        <v>0</v>
      </c>
      <c r="J547" s="5" t="n">
        <f aca="false">IF(I547=0,1,0)</f>
        <v>1</v>
      </c>
      <c r="K547" s="5" t="n">
        <f aca="false">IF(I547&lt;=1,1,0)</f>
        <v>1</v>
      </c>
      <c r="L547" s="5" t="s">
        <v>71</v>
      </c>
      <c r="M547" s="5" t="s">
        <v>317</v>
      </c>
    </row>
    <row r="548" customFormat="false" ht="15" hidden="false" customHeight="false" outlineLevel="0" collapsed="false">
      <c r="A548" s="5" t="s">
        <v>53</v>
      </c>
      <c r="B548" s="5" t="s">
        <v>52</v>
      </c>
      <c r="C548" s="5" t="s">
        <v>100</v>
      </c>
      <c r="D548" s="5" t="s">
        <v>69</v>
      </c>
      <c r="E548" s="5" t="s">
        <v>105</v>
      </c>
      <c r="F548" s="5" t="n">
        <v>1</v>
      </c>
      <c r="G548" s="5" t="n">
        <v>1</v>
      </c>
      <c r="H548" s="5" t="n">
        <f aca="false">G548-F548</f>
        <v>0</v>
      </c>
      <c r="I548" s="5" t="n">
        <f aca="false">ABS(H548)</f>
        <v>0</v>
      </c>
      <c r="J548" s="5" t="n">
        <f aca="false">IF(I548=0,1,0)</f>
        <v>1</v>
      </c>
      <c r="K548" s="5" t="n">
        <f aca="false">IF(I548&lt;=1,1,0)</f>
        <v>1</v>
      </c>
      <c r="L548" s="5" t="s">
        <v>71</v>
      </c>
      <c r="M548" s="5" t="s">
        <v>317</v>
      </c>
    </row>
    <row r="549" customFormat="false" ht="15" hidden="false" customHeight="false" outlineLevel="0" collapsed="false">
      <c r="A549" s="5" t="s">
        <v>53</v>
      </c>
      <c r="B549" s="5" t="s">
        <v>52</v>
      </c>
      <c r="C549" s="5" t="s">
        <v>100</v>
      </c>
      <c r="D549" s="5" t="s">
        <v>69</v>
      </c>
      <c r="E549" s="5" t="s">
        <v>266</v>
      </c>
      <c r="F549" s="5" t="n">
        <v>3</v>
      </c>
      <c r="G549" s="5" t="n">
        <v>3</v>
      </c>
      <c r="H549" s="5" t="n">
        <f aca="false">G549-F549</f>
        <v>0</v>
      </c>
      <c r="I549" s="5" t="n">
        <f aca="false">ABS(H549)</f>
        <v>0</v>
      </c>
      <c r="J549" s="5" t="n">
        <f aca="false">IF(I549=0,1,0)</f>
        <v>1</v>
      </c>
      <c r="K549" s="5" t="n">
        <f aca="false">IF(I549&lt;=1,1,0)</f>
        <v>1</v>
      </c>
      <c r="L549" s="5" t="s">
        <v>71</v>
      </c>
      <c r="M549" s="5" t="s">
        <v>317</v>
      </c>
    </row>
    <row r="550" customFormat="false" ht="15" hidden="false" customHeight="false" outlineLevel="0" collapsed="false">
      <c r="A550" s="5" t="s">
        <v>53</v>
      </c>
      <c r="B550" s="5" t="s">
        <v>52</v>
      </c>
      <c r="C550" s="5" t="s">
        <v>100</v>
      </c>
      <c r="D550" s="5" t="s">
        <v>107</v>
      </c>
      <c r="E550" s="5" t="s">
        <v>108</v>
      </c>
      <c r="F550" s="5" t="n">
        <v>1</v>
      </c>
      <c r="G550" s="5" t="n">
        <v>1</v>
      </c>
      <c r="H550" s="5" t="n">
        <f aca="false">G550-F550</f>
        <v>0</v>
      </c>
      <c r="I550" s="5" t="n">
        <f aca="false">ABS(H550)</f>
        <v>0</v>
      </c>
      <c r="J550" s="5" t="n">
        <f aca="false">IF(I550=0,1,0)</f>
        <v>1</v>
      </c>
      <c r="K550" s="5" t="n">
        <f aca="false">IF(I550&lt;=1,1,0)</f>
        <v>1</v>
      </c>
      <c r="L550" s="5" t="s">
        <v>71</v>
      </c>
      <c r="M550" s="5" t="s">
        <v>318</v>
      </c>
    </row>
    <row r="551" customFormat="false" ht="15" hidden="false" customHeight="false" outlineLevel="0" collapsed="false">
      <c r="A551" s="5" t="s">
        <v>53</v>
      </c>
      <c r="B551" s="5" t="s">
        <v>52</v>
      </c>
      <c r="C551" s="5" t="s">
        <v>100</v>
      </c>
      <c r="D551" s="5" t="s">
        <v>107</v>
      </c>
      <c r="E551" s="5" t="s">
        <v>235</v>
      </c>
      <c r="F551" s="5" t="n">
        <v>1</v>
      </c>
      <c r="G551" s="5" t="n">
        <v>1</v>
      </c>
      <c r="H551" s="5" t="n">
        <f aca="false">G551-F551</f>
        <v>0</v>
      </c>
      <c r="I551" s="5" t="n">
        <f aca="false">ABS(H551)</f>
        <v>0</v>
      </c>
      <c r="J551" s="5" t="n">
        <f aca="false">IF(I551=0,1,0)</f>
        <v>1</v>
      </c>
      <c r="K551" s="5" t="n">
        <f aca="false">IF(I551&lt;=1,1,0)</f>
        <v>1</v>
      </c>
      <c r="L551" s="5" t="s">
        <v>71</v>
      </c>
      <c r="M551" s="5" t="s">
        <v>318</v>
      </c>
    </row>
    <row r="552" customFormat="false" ht="15" hidden="false" customHeight="false" outlineLevel="0" collapsed="false">
      <c r="A552" s="5" t="s">
        <v>53</v>
      </c>
      <c r="B552" s="5" t="s">
        <v>52</v>
      </c>
      <c r="C552" s="5" t="s">
        <v>100</v>
      </c>
      <c r="D552" s="5" t="s">
        <v>107</v>
      </c>
      <c r="E552" s="5" t="s">
        <v>110</v>
      </c>
      <c r="F552" s="5" t="n">
        <v>3</v>
      </c>
      <c r="G552" s="5" t="n">
        <v>3</v>
      </c>
      <c r="H552" s="5" t="n">
        <f aca="false">G552-F552</f>
        <v>0</v>
      </c>
      <c r="I552" s="5" t="n">
        <f aca="false">ABS(H552)</f>
        <v>0</v>
      </c>
      <c r="J552" s="5" t="n">
        <f aca="false">IF(I552=0,1,0)</f>
        <v>1</v>
      </c>
      <c r="K552" s="5" t="n">
        <f aca="false">IF(I552&lt;=1,1,0)</f>
        <v>1</v>
      </c>
      <c r="L552" s="5" t="s">
        <v>71</v>
      </c>
      <c r="M552" s="5" t="s">
        <v>318</v>
      </c>
    </row>
    <row r="553" customFormat="false" ht="15" hidden="false" customHeight="false" outlineLevel="0" collapsed="false">
      <c r="A553" s="16" t="s">
        <v>53</v>
      </c>
      <c r="B553" s="16" t="s">
        <v>52</v>
      </c>
      <c r="C553" s="16" t="s">
        <v>100</v>
      </c>
      <c r="D553" s="16" t="s">
        <v>107</v>
      </c>
      <c r="E553" s="16" t="s">
        <v>319</v>
      </c>
      <c r="F553" s="16" t="n">
        <v>1</v>
      </c>
      <c r="G553" s="16" t="n">
        <v>2</v>
      </c>
      <c r="H553" s="16" t="n">
        <f aca="false">G553-F553</f>
        <v>1</v>
      </c>
      <c r="I553" s="16" t="n">
        <f aca="false">ABS(H553)</f>
        <v>1</v>
      </c>
      <c r="J553" s="16" t="n">
        <f aca="false">IF(I553=0,1,0)</f>
        <v>0</v>
      </c>
      <c r="K553" s="16" t="n">
        <f aca="false">IF(I553&lt;=1,1,0)</f>
        <v>1</v>
      </c>
      <c r="L553" s="16" t="s">
        <v>76</v>
      </c>
      <c r="M553" s="16" t="s">
        <v>318</v>
      </c>
    </row>
    <row r="554" customFormat="false" ht="15" hidden="false" customHeight="false" outlineLevel="0" collapsed="false">
      <c r="A554" s="5" t="s">
        <v>53</v>
      </c>
      <c r="B554" s="5" t="s">
        <v>52</v>
      </c>
      <c r="C554" s="5" t="s">
        <v>100</v>
      </c>
      <c r="D554" s="5" t="s">
        <v>107</v>
      </c>
      <c r="E554" s="5" t="s">
        <v>320</v>
      </c>
      <c r="F554" s="5" t="n">
        <v>1</v>
      </c>
      <c r="G554" s="5" t="n">
        <v>1</v>
      </c>
      <c r="H554" s="5" t="n">
        <f aca="false">G554-F554</f>
        <v>0</v>
      </c>
      <c r="I554" s="5" t="n">
        <f aca="false">ABS(H554)</f>
        <v>0</v>
      </c>
      <c r="J554" s="5" t="n">
        <f aca="false">IF(I554=0,1,0)</f>
        <v>1</v>
      </c>
      <c r="K554" s="5" t="n">
        <f aca="false">IF(I554&lt;=1,1,0)</f>
        <v>1</v>
      </c>
      <c r="L554" s="5" t="s">
        <v>71</v>
      </c>
      <c r="M554" s="5" t="s">
        <v>318</v>
      </c>
    </row>
    <row r="555" customFormat="false" ht="15" hidden="false" customHeight="false" outlineLevel="0" collapsed="false">
      <c r="A555" s="16" t="s">
        <v>53</v>
      </c>
      <c r="B555" s="16" t="s">
        <v>52</v>
      </c>
      <c r="C555" s="16" t="s">
        <v>100</v>
      </c>
      <c r="D555" s="16" t="s">
        <v>107</v>
      </c>
      <c r="E555" s="16" t="s">
        <v>321</v>
      </c>
      <c r="F555" s="16" t="n">
        <v>1</v>
      </c>
      <c r="G555" s="16" t="n">
        <v>2</v>
      </c>
      <c r="H555" s="16" t="n">
        <f aca="false">G555-F555</f>
        <v>1</v>
      </c>
      <c r="I555" s="16" t="n">
        <f aca="false">ABS(H555)</f>
        <v>1</v>
      </c>
      <c r="J555" s="16" t="n">
        <f aca="false">IF(I555=0,1,0)</f>
        <v>0</v>
      </c>
      <c r="K555" s="16" t="n">
        <f aca="false">IF(I555&lt;=1,1,0)</f>
        <v>1</v>
      </c>
      <c r="L555" s="16" t="s">
        <v>76</v>
      </c>
      <c r="M555" s="16" t="s">
        <v>318</v>
      </c>
    </row>
    <row r="556" customFormat="false" ht="15" hidden="false" customHeight="false" outlineLevel="0" collapsed="false">
      <c r="A556" s="16" t="s">
        <v>53</v>
      </c>
      <c r="B556" s="16" t="s">
        <v>52</v>
      </c>
      <c r="C556" s="16" t="s">
        <v>100</v>
      </c>
      <c r="D556" s="16" t="s">
        <v>114</v>
      </c>
      <c r="E556" s="16" t="s">
        <v>108</v>
      </c>
      <c r="F556" s="16" t="n">
        <v>1</v>
      </c>
      <c r="G556" s="16" t="n">
        <v>0</v>
      </c>
      <c r="H556" s="16" t="n">
        <f aca="false">G556-F556</f>
        <v>-1</v>
      </c>
      <c r="I556" s="16" t="n">
        <f aca="false">ABS(H556)</f>
        <v>1</v>
      </c>
      <c r="J556" s="16" t="n">
        <f aca="false">IF(I556=0,1,0)</f>
        <v>0</v>
      </c>
      <c r="K556" s="16" t="n">
        <f aca="false">IF(I556&lt;=1,1,0)</f>
        <v>1</v>
      </c>
      <c r="L556" s="16" t="s">
        <v>76</v>
      </c>
      <c r="M556" s="16" t="s">
        <v>322</v>
      </c>
    </row>
    <row r="557" customFormat="false" ht="15" hidden="false" customHeight="false" outlineLevel="0" collapsed="false">
      <c r="A557" s="16" t="s">
        <v>53</v>
      </c>
      <c r="B557" s="16" t="s">
        <v>52</v>
      </c>
      <c r="C557" s="16" t="s">
        <v>100</v>
      </c>
      <c r="D557" s="16" t="s">
        <v>114</v>
      </c>
      <c r="E557" s="16" t="s">
        <v>235</v>
      </c>
      <c r="F557" s="16" t="n">
        <v>1</v>
      </c>
      <c r="G557" s="16" t="n">
        <v>0</v>
      </c>
      <c r="H557" s="16" t="n">
        <f aca="false">G557-F557</f>
        <v>-1</v>
      </c>
      <c r="I557" s="16" t="n">
        <f aca="false">ABS(H557)</f>
        <v>1</v>
      </c>
      <c r="J557" s="16" t="n">
        <f aca="false">IF(I557=0,1,0)</f>
        <v>0</v>
      </c>
      <c r="K557" s="16" t="n">
        <f aca="false">IF(I557&lt;=1,1,0)</f>
        <v>1</v>
      </c>
      <c r="L557" s="16" t="s">
        <v>76</v>
      </c>
      <c r="M557" s="16" t="s">
        <v>322</v>
      </c>
    </row>
    <row r="558" customFormat="false" ht="15" hidden="false" customHeight="false" outlineLevel="0" collapsed="false">
      <c r="A558" s="5" t="s">
        <v>53</v>
      </c>
      <c r="B558" s="5" t="s">
        <v>52</v>
      </c>
      <c r="C558" s="5" t="s">
        <v>100</v>
      </c>
      <c r="D558" s="5" t="s">
        <v>114</v>
      </c>
      <c r="E558" s="5" t="s">
        <v>110</v>
      </c>
      <c r="F558" s="5" t="n">
        <v>0</v>
      </c>
      <c r="G558" s="5" t="n">
        <v>0</v>
      </c>
      <c r="H558" s="5" t="n">
        <f aca="false">G558-F558</f>
        <v>0</v>
      </c>
      <c r="I558" s="5" t="n">
        <f aca="false">ABS(H558)</f>
        <v>0</v>
      </c>
      <c r="J558" s="5" t="n">
        <f aca="false">IF(I558=0,1,0)</f>
        <v>1</v>
      </c>
      <c r="K558" s="5" t="n">
        <f aca="false">IF(I558&lt;=1,1,0)</f>
        <v>1</v>
      </c>
      <c r="L558" s="5" t="s">
        <v>71</v>
      </c>
      <c r="M558" s="5" t="s">
        <v>322</v>
      </c>
    </row>
    <row r="559" customFormat="false" ht="15" hidden="false" customHeight="false" outlineLevel="0" collapsed="false">
      <c r="A559" s="16" t="s">
        <v>53</v>
      </c>
      <c r="B559" s="16" t="s">
        <v>52</v>
      </c>
      <c r="C559" s="16" t="s">
        <v>100</v>
      </c>
      <c r="D559" s="16" t="s">
        <v>114</v>
      </c>
      <c r="E559" s="16" t="s">
        <v>319</v>
      </c>
      <c r="F559" s="16" t="n">
        <v>3</v>
      </c>
      <c r="G559" s="16" t="n">
        <v>2</v>
      </c>
      <c r="H559" s="16" t="n">
        <f aca="false">G559-F559</f>
        <v>-1</v>
      </c>
      <c r="I559" s="16" t="n">
        <f aca="false">ABS(H559)</f>
        <v>1</v>
      </c>
      <c r="J559" s="16" t="n">
        <f aca="false">IF(I559=0,1,0)</f>
        <v>0</v>
      </c>
      <c r="K559" s="16" t="n">
        <f aca="false">IF(I559&lt;=1,1,0)</f>
        <v>1</v>
      </c>
      <c r="L559" s="16" t="s">
        <v>76</v>
      </c>
      <c r="M559" s="16" t="s">
        <v>322</v>
      </c>
    </row>
    <row r="560" customFormat="false" ht="15" hidden="false" customHeight="false" outlineLevel="0" collapsed="false">
      <c r="A560" s="16" t="s">
        <v>53</v>
      </c>
      <c r="B560" s="16" t="s">
        <v>52</v>
      </c>
      <c r="C560" s="16" t="s">
        <v>100</v>
      </c>
      <c r="D560" s="16" t="s">
        <v>114</v>
      </c>
      <c r="E560" s="16" t="s">
        <v>320</v>
      </c>
      <c r="F560" s="16" t="n">
        <v>1</v>
      </c>
      <c r="G560" s="16" t="n">
        <v>0</v>
      </c>
      <c r="H560" s="16" t="n">
        <f aca="false">G560-F560</f>
        <v>-1</v>
      </c>
      <c r="I560" s="16" t="n">
        <f aca="false">ABS(H560)</f>
        <v>1</v>
      </c>
      <c r="J560" s="16" t="n">
        <f aca="false">IF(I560=0,1,0)</f>
        <v>0</v>
      </c>
      <c r="K560" s="16" t="n">
        <f aca="false">IF(I560&lt;=1,1,0)</f>
        <v>1</v>
      </c>
      <c r="L560" s="16" t="s">
        <v>76</v>
      </c>
      <c r="M560" s="16" t="s">
        <v>322</v>
      </c>
    </row>
    <row r="561" customFormat="false" ht="15" hidden="false" customHeight="false" outlineLevel="0" collapsed="false">
      <c r="A561" s="5" t="s">
        <v>53</v>
      </c>
      <c r="B561" s="5" t="s">
        <v>52</v>
      </c>
      <c r="C561" s="5" t="s">
        <v>100</v>
      </c>
      <c r="D561" s="5" t="s">
        <v>114</v>
      </c>
      <c r="E561" s="5" t="s">
        <v>321</v>
      </c>
      <c r="F561" s="5" t="n">
        <v>3</v>
      </c>
      <c r="G561" s="5" t="n">
        <v>3</v>
      </c>
      <c r="H561" s="5" t="n">
        <f aca="false">G561-F561</f>
        <v>0</v>
      </c>
      <c r="I561" s="5" t="n">
        <f aca="false">ABS(H561)</f>
        <v>0</v>
      </c>
      <c r="J561" s="5" t="n">
        <f aca="false">IF(I561=0,1,0)</f>
        <v>1</v>
      </c>
      <c r="K561" s="5" t="n">
        <f aca="false">IF(I561&lt;=1,1,0)</f>
        <v>1</v>
      </c>
      <c r="L561" s="5" t="s">
        <v>71</v>
      </c>
      <c r="M561" s="5" t="s">
        <v>322</v>
      </c>
    </row>
    <row r="562" customFormat="false" ht="15" hidden="false" customHeight="false" outlineLevel="0" collapsed="false">
      <c r="A562" s="5" t="s">
        <v>53</v>
      </c>
      <c r="B562" s="5" t="s">
        <v>52</v>
      </c>
      <c r="C562" s="5" t="s">
        <v>116</v>
      </c>
      <c r="D562" s="5" t="s">
        <v>69</v>
      </c>
      <c r="E562" s="5" t="s">
        <v>117</v>
      </c>
      <c r="F562" s="5" t="n">
        <v>3</v>
      </c>
      <c r="G562" s="5" t="n">
        <v>3</v>
      </c>
      <c r="H562" s="5" t="n">
        <f aca="false">G562-F562</f>
        <v>0</v>
      </c>
      <c r="I562" s="5" t="n">
        <f aca="false">ABS(H562)</f>
        <v>0</v>
      </c>
      <c r="J562" s="5" t="n">
        <f aca="false">IF(I562=0,1,0)</f>
        <v>1</v>
      </c>
      <c r="K562" s="5" t="n">
        <f aca="false">IF(I562&lt;=1,1,0)</f>
        <v>1</v>
      </c>
      <c r="L562" s="5" t="s">
        <v>71</v>
      </c>
      <c r="M562" s="5" t="s">
        <v>323</v>
      </c>
    </row>
    <row r="563" customFormat="false" ht="15" hidden="false" customHeight="false" outlineLevel="0" collapsed="false">
      <c r="A563" s="5" t="s">
        <v>53</v>
      </c>
      <c r="B563" s="5" t="s">
        <v>52</v>
      </c>
      <c r="C563" s="5" t="s">
        <v>116</v>
      </c>
      <c r="D563" s="5" t="s">
        <v>69</v>
      </c>
      <c r="E563" s="5" t="s">
        <v>119</v>
      </c>
      <c r="F563" s="5" t="n">
        <v>3</v>
      </c>
      <c r="G563" s="5" t="n">
        <v>3</v>
      </c>
      <c r="H563" s="5" t="n">
        <f aca="false">G563-F563</f>
        <v>0</v>
      </c>
      <c r="I563" s="5" t="n">
        <f aca="false">ABS(H563)</f>
        <v>0</v>
      </c>
      <c r="J563" s="5" t="n">
        <f aca="false">IF(I563=0,1,0)</f>
        <v>1</v>
      </c>
      <c r="K563" s="5" t="n">
        <f aca="false">IF(I563&lt;=1,1,0)</f>
        <v>1</v>
      </c>
      <c r="L563" s="5" t="s">
        <v>71</v>
      </c>
      <c r="M563" s="5" t="s">
        <v>323</v>
      </c>
    </row>
    <row r="564" customFormat="false" ht="15" hidden="false" customHeight="false" outlineLevel="0" collapsed="false">
      <c r="A564" s="5" t="s">
        <v>53</v>
      </c>
      <c r="B564" s="5" t="s">
        <v>52</v>
      </c>
      <c r="C564" s="5" t="s">
        <v>116</v>
      </c>
      <c r="D564" s="5" t="s">
        <v>69</v>
      </c>
      <c r="E564" s="5" t="s">
        <v>120</v>
      </c>
      <c r="F564" s="5" t="n">
        <v>3</v>
      </c>
      <c r="G564" s="5" t="n">
        <v>3</v>
      </c>
      <c r="H564" s="5" t="n">
        <f aca="false">G564-F564</f>
        <v>0</v>
      </c>
      <c r="I564" s="5" t="n">
        <f aca="false">ABS(H564)</f>
        <v>0</v>
      </c>
      <c r="J564" s="5" t="n">
        <f aca="false">IF(I564=0,1,0)</f>
        <v>1</v>
      </c>
      <c r="K564" s="5" t="n">
        <f aca="false">IF(I564&lt;=1,1,0)</f>
        <v>1</v>
      </c>
      <c r="L564" s="5" t="s">
        <v>71</v>
      </c>
      <c r="M564" s="5" t="s">
        <v>323</v>
      </c>
    </row>
    <row r="565" customFormat="false" ht="15" hidden="false" customHeight="false" outlineLevel="0" collapsed="false">
      <c r="A565" s="5" t="s">
        <v>53</v>
      </c>
      <c r="B565" s="5" t="s">
        <v>52</v>
      </c>
      <c r="C565" s="5" t="s">
        <v>116</v>
      </c>
      <c r="D565" s="5" t="s">
        <v>69</v>
      </c>
      <c r="E565" s="5" t="s">
        <v>122</v>
      </c>
      <c r="F565" s="5" t="n">
        <v>3</v>
      </c>
      <c r="G565" s="5" t="n">
        <v>3</v>
      </c>
      <c r="H565" s="5" t="n">
        <f aca="false">G565-F565</f>
        <v>0</v>
      </c>
      <c r="I565" s="5" t="n">
        <f aca="false">ABS(H565)</f>
        <v>0</v>
      </c>
      <c r="J565" s="5" t="n">
        <f aca="false">IF(I565=0,1,0)</f>
        <v>1</v>
      </c>
      <c r="K565" s="5" t="n">
        <f aca="false">IF(I565&lt;=1,1,0)</f>
        <v>1</v>
      </c>
      <c r="L565" s="5" t="s">
        <v>71</v>
      </c>
      <c r="M565" s="5" t="s">
        <v>323</v>
      </c>
    </row>
    <row r="566" customFormat="false" ht="15" hidden="false" customHeight="false" outlineLevel="0" collapsed="false">
      <c r="A566" s="5" t="s">
        <v>53</v>
      </c>
      <c r="B566" s="5" t="s">
        <v>52</v>
      </c>
      <c r="C566" s="5" t="s">
        <v>116</v>
      </c>
      <c r="D566" s="5" t="s">
        <v>69</v>
      </c>
      <c r="E566" s="5" t="s">
        <v>324</v>
      </c>
      <c r="F566" s="5" t="n">
        <v>3</v>
      </c>
      <c r="G566" s="5" t="n">
        <v>3</v>
      </c>
      <c r="H566" s="5" t="n">
        <f aca="false">G566-F566</f>
        <v>0</v>
      </c>
      <c r="I566" s="5" t="n">
        <f aca="false">ABS(H566)</f>
        <v>0</v>
      </c>
      <c r="J566" s="5" t="n">
        <f aca="false">IF(I566=0,1,0)</f>
        <v>1</v>
      </c>
      <c r="K566" s="5" t="n">
        <f aca="false">IF(I566&lt;=1,1,0)</f>
        <v>1</v>
      </c>
      <c r="L566" s="5" t="s">
        <v>71</v>
      </c>
      <c r="M566" s="5" t="s">
        <v>323</v>
      </c>
    </row>
    <row r="567" customFormat="false" ht="15" hidden="false" customHeight="false" outlineLevel="0" collapsed="false">
      <c r="A567" s="5" t="s">
        <v>53</v>
      </c>
      <c r="B567" s="5" t="s">
        <v>52</v>
      </c>
      <c r="C567" s="5" t="s">
        <v>116</v>
      </c>
      <c r="D567" s="5" t="s">
        <v>114</v>
      </c>
      <c r="E567" s="5" t="s">
        <v>123</v>
      </c>
      <c r="F567" s="5" t="n">
        <v>2</v>
      </c>
      <c r="G567" s="5" t="n">
        <v>2</v>
      </c>
      <c r="H567" s="5" t="n">
        <f aca="false">G567-F567</f>
        <v>0</v>
      </c>
      <c r="I567" s="5" t="n">
        <f aca="false">ABS(H567)</f>
        <v>0</v>
      </c>
      <c r="J567" s="5" t="n">
        <f aca="false">IF(I567=0,1,0)</f>
        <v>1</v>
      </c>
      <c r="K567" s="5" t="n">
        <f aca="false">IF(I567&lt;=1,1,0)</f>
        <v>1</v>
      </c>
      <c r="L567" s="5" t="s">
        <v>71</v>
      </c>
      <c r="M567" s="5" t="s">
        <v>325</v>
      </c>
    </row>
    <row r="568" customFormat="false" ht="15" hidden="false" customHeight="false" outlineLevel="0" collapsed="false">
      <c r="A568" s="16" t="s">
        <v>53</v>
      </c>
      <c r="B568" s="16" t="s">
        <v>52</v>
      </c>
      <c r="C568" s="16" t="s">
        <v>116</v>
      </c>
      <c r="D568" s="16" t="s">
        <v>114</v>
      </c>
      <c r="E568" s="16" t="s">
        <v>125</v>
      </c>
      <c r="F568" s="16" t="n">
        <v>2</v>
      </c>
      <c r="G568" s="16" t="n">
        <v>3</v>
      </c>
      <c r="H568" s="16" t="n">
        <f aca="false">G568-F568</f>
        <v>1</v>
      </c>
      <c r="I568" s="16" t="n">
        <f aca="false">ABS(H568)</f>
        <v>1</v>
      </c>
      <c r="J568" s="16" t="n">
        <f aca="false">IF(I568=0,1,0)</f>
        <v>0</v>
      </c>
      <c r="K568" s="16" t="n">
        <f aca="false">IF(I568&lt;=1,1,0)</f>
        <v>1</v>
      </c>
      <c r="L568" s="16" t="s">
        <v>76</v>
      </c>
      <c r="M568" s="16" t="s">
        <v>325</v>
      </c>
    </row>
    <row r="569" customFormat="false" ht="15" hidden="false" customHeight="false" outlineLevel="0" collapsed="false">
      <c r="A569" s="5" t="s">
        <v>53</v>
      </c>
      <c r="B569" s="5" t="s">
        <v>52</v>
      </c>
      <c r="C569" s="5" t="s">
        <v>116</v>
      </c>
      <c r="D569" s="5" t="s">
        <v>114</v>
      </c>
      <c r="E569" s="5" t="s">
        <v>126</v>
      </c>
      <c r="F569" s="5" t="n">
        <v>3</v>
      </c>
      <c r="G569" s="5" t="n">
        <v>3</v>
      </c>
      <c r="H569" s="5" t="n">
        <f aca="false">G569-F569</f>
        <v>0</v>
      </c>
      <c r="I569" s="5" t="n">
        <f aca="false">ABS(H569)</f>
        <v>0</v>
      </c>
      <c r="J569" s="5" t="n">
        <f aca="false">IF(I569=0,1,0)</f>
        <v>1</v>
      </c>
      <c r="K569" s="5" t="n">
        <f aca="false">IF(I569&lt;=1,1,0)</f>
        <v>1</v>
      </c>
      <c r="L569" s="5" t="s">
        <v>71</v>
      </c>
      <c r="M569" s="5" t="s">
        <v>325</v>
      </c>
    </row>
    <row r="570" customFormat="false" ht="15" hidden="false" customHeight="false" outlineLevel="0" collapsed="false">
      <c r="A570" s="16" t="s">
        <v>53</v>
      </c>
      <c r="B570" s="16" t="s">
        <v>52</v>
      </c>
      <c r="C570" s="16" t="s">
        <v>116</v>
      </c>
      <c r="D570" s="16" t="s">
        <v>114</v>
      </c>
      <c r="E570" s="16" t="s">
        <v>127</v>
      </c>
      <c r="F570" s="16" t="n">
        <v>2</v>
      </c>
      <c r="G570" s="16" t="n">
        <v>3</v>
      </c>
      <c r="H570" s="16" t="n">
        <f aca="false">G570-F570</f>
        <v>1</v>
      </c>
      <c r="I570" s="16" t="n">
        <f aca="false">ABS(H570)</f>
        <v>1</v>
      </c>
      <c r="J570" s="16" t="n">
        <f aca="false">IF(I570=0,1,0)</f>
        <v>0</v>
      </c>
      <c r="K570" s="16" t="n">
        <f aca="false">IF(I570&lt;=1,1,0)</f>
        <v>1</v>
      </c>
      <c r="L570" s="16" t="s">
        <v>76</v>
      </c>
      <c r="M570" s="16" t="s">
        <v>325</v>
      </c>
    </row>
    <row r="571" customFormat="false" ht="15" hidden="false" customHeight="false" outlineLevel="0" collapsed="false">
      <c r="A571" s="5" t="s">
        <v>53</v>
      </c>
      <c r="B571" s="5" t="s">
        <v>52</v>
      </c>
      <c r="C571" s="5" t="s">
        <v>116</v>
      </c>
      <c r="D571" s="5" t="s">
        <v>114</v>
      </c>
      <c r="E571" s="5" t="s">
        <v>128</v>
      </c>
      <c r="F571" s="5" t="n">
        <v>3</v>
      </c>
      <c r="G571" s="5" t="n">
        <v>3</v>
      </c>
      <c r="H571" s="5" t="n">
        <f aca="false">G571-F571</f>
        <v>0</v>
      </c>
      <c r="I571" s="5" t="n">
        <f aca="false">ABS(H571)</f>
        <v>0</v>
      </c>
      <c r="J571" s="5" t="n">
        <f aca="false">IF(I571=0,1,0)</f>
        <v>1</v>
      </c>
      <c r="K571" s="5" t="n">
        <f aca="false">IF(I571&lt;=1,1,0)</f>
        <v>1</v>
      </c>
      <c r="L571" s="5" t="s">
        <v>71</v>
      </c>
      <c r="M571" s="5" t="s">
        <v>325</v>
      </c>
    </row>
    <row r="572" customFormat="false" ht="15" hidden="false" customHeight="false" outlineLevel="0" collapsed="false">
      <c r="A572" s="5" t="s">
        <v>53</v>
      </c>
      <c r="B572" s="5" t="s">
        <v>52</v>
      </c>
      <c r="C572" s="5" t="s">
        <v>116</v>
      </c>
      <c r="D572" s="5" t="s">
        <v>129</v>
      </c>
      <c r="E572" s="5" t="s">
        <v>130</v>
      </c>
      <c r="F572" s="5" t="n">
        <v>2</v>
      </c>
      <c r="G572" s="5" t="n">
        <v>2</v>
      </c>
      <c r="H572" s="5" t="n">
        <f aca="false">G572-F572</f>
        <v>0</v>
      </c>
      <c r="I572" s="5" t="n">
        <f aca="false">ABS(H572)</f>
        <v>0</v>
      </c>
      <c r="J572" s="5" t="n">
        <f aca="false">IF(I572=0,1,0)</f>
        <v>1</v>
      </c>
      <c r="K572" s="5" t="n">
        <f aca="false">IF(I572&lt;=1,1,0)</f>
        <v>1</v>
      </c>
      <c r="L572" s="5" t="s">
        <v>71</v>
      </c>
      <c r="M572" s="5" t="s">
        <v>326</v>
      </c>
    </row>
    <row r="573" customFormat="false" ht="15" hidden="false" customHeight="false" outlineLevel="0" collapsed="false">
      <c r="A573" s="16" t="s">
        <v>53</v>
      </c>
      <c r="B573" s="16" t="s">
        <v>52</v>
      </c>
      <c r="C573" s="16" t="s">
        <v>116</v>
      </c>
      <c r="D573" s="16" t="s">
        <v>129</v>
      </c>
      <c r="E573" s="16" t="s">
        <v>132</v>
      </c>
      <c r="F573" s="16" t="n">
        <v>2</v>
      </c>
      <c r="G573" s="16" t="n">
        <v>3</v>
      </c>
      <c r="H573" s="16" t="n">
        <f aca="false">G573-F573</f>
        <v>1</v>
      </c>
      <c r="I573" s="16" t="n">
        <f aca="false">ABS(H573)</f>
        <v>1</v>
      </c>
      <c r="J573" s="16" t="n">
        <f aca="false">IF(I573=0,1,0)</f>
        <v>0</v>
      </c>
      <c r="K573" s="16" t="n">
        <f aca="false">IF(I573&lt;=1,1,0)</f>
        <v>1</v>
      </c>
      <c r="L573" s="16" t="s">
        <v>76</v>
      </c>
      <c r="M573" s="16" t="s">
        <v>326</v>
      </c>
    </row>
    <row r="574" customFormat="false" ht="15" hidden="false" customHeight="false" outlineLevel="0" collapsed="false">
      <c r="A574" s="16" t="s">
        <v>53</v>
      </c>
      <c r="B574" s="16" t="s">
        <v>52</v>
      </c>
      <c r="C574" s="16" t="s">
        <v>116</v>
      </c>
      <c r="D574" s="16" t="s">
        <v>129</v>
      </c>
      <c r="E574" s="16" t="s">
        <v>133</v>
      </c>
      <c r="F574" s="16" t="n">
        <v>0</v>
      </c>
      <c r="G574" s="16" t="n">
        <v>1</v>
      </c>
      <c r="H574" s="16" t="n">
        <f aca="false">G574-F574</f>
        <v>1</v>
      </c>
      <c r="I574" s="16" t="n">
        <f aca="false">ABS(H574)</f>
        <v>1</v>
      </c>
      <c r="J574" s="16" t="n">
        <f aca="false">IF(I574=0,1,0)</f>
        <v>0</v>
      </c>
      <c r="K574" s="16" t="n">
        <f aca="false">IF(I574&lt;=1,1,0)</f>
        <v>1</v>
      </c>
      <c r="L574" s="16" t="s">
        <v>76</v>
      </c>
      <c r="M574" s="16" t="s">
        <v>326</v>
      </c>
    </row>
    <row r="575" customFormat="false" ht="15" hidden="false" customHeight="false" outlineLevel="0" collapsed="false">
      <c r="A575" s="5" t="s">
        <v>53</v>
      </c>
      <c r="B575" s="5" t="s">
        <v>52</v>
      </c>
      <c r="C575" s="5" t="s">
        <v>116</v>
      </c>
      <c r="D575" s="5" t="s">
        <v>129</v>
      </c>
      <c r="E575" s="5" t="s">
        <v>134</v>
      </c>
      <c r="F575" s="5" t="n">
        <v>3</v>
      </c>
      <c r="G575" s="5" t="n">
        <v>3</v>
      </c>
      <c r="H575" s="5" t="n">
        <f aca="false">G575-F575</f>
        <v>0</v>
      </c>
      <c r="I575" s="5" t="n">
        <f aca="false">ABS(H575)</f>
        <v>0</v>
      </c>
      <c r="J575" s="5" t="n">
        <f aca="false">IF(I575=0,1,0)</f>
        <v>1</v>
      </c>
      <c r="K575" s="5" t="n">
        <f aca="false">IF(I575&lt;=1,1,0)</f>
        <v>1</v>
      </c>
      <c r="L575" s="5" t="s">
        <v>71</v>
      </c>
      <c r="M575" s="5" t="s">
        <v>326</v>
      </c>
    </row>
    <row r="576" customFormat="false" ht="15" hidden="false" customHeight="false" outlineLevel="0" collapsed="false">
      <c r="A576" s="5" t="s">
        <v>53</v>
      </c>
      <c r="B576" s="5" t="s">
        <v>52</v>
      </c>
      <c r="C576" s="5" t="s">
        <v>116</v>
      </c>
      <c r="D576" s="5" t="s">
        <v>129</v>
      </c>
      <c r="E576" s="5" t="s">
        <v>135</v>
      </c>
      <c r="F576" s="5" t="n">
        <v>3</v>
      </c>
      <c r="G576" s="5" t="n">
        <v>3</v>
      </c>
      <c r="H576" s="5" t="n">
        <f aca="false">G576-F576</f>
        <v>0</v>
      </c>
      <c r="I576" s="5" t="n">
        <f aca="false">ABS(H576)</f>
        <v>0</v>
      </c>
      <c r="J576" s="5" t="n">
        <f aca="false">IF(I576=0,1,0)</f>
        <v>1</v>
      </c>
      <c r="K576" s="5" t="n">
        <f aca="false">IF(I576&lt;=1,1,0)</f>
        <v>1</v>
      </c>
      <c r="L576" s="5" t="s">
        <v>71</v>
      </c>
      <c r="M576" s="5" t="s">
        <v>326</v>
      </c>
    </row>
    <row r="577" customFormat="false" ht="15" hidden="false" customHeight="false" outlineLevel="0" collapsed="false">
      <c r="A577" s="16" t="s">
        <v>53</v>
      </c>
      <c r="B577" s="16" t="s">
        <v>52</v>
      </c>
      <c r="C577" s="16" t="s">
        <v>116</v>
      </c>
      <c r="D577" s="16" t="s">
        <v>129</v>
      </c>
      <c r="E577" s="16" t="s">
        <v>127</v>
      </c>
      <c r="F577" s="16" t="n">
        <v>2</v>
      </c>
      <c r="G577" s="16" t="n">
        <v>3</v>
      </c>
      <c r="H577" s="16" t="n">
        <f aca="false">G577-F577</f>
        <v>1</v>
      </c>
      <c r="I577" s="16" t="n">
        <f aca="false">ABS(H577)</f>
        <v>1</v>
      </c>
      <c r="J577" s="16" t="n">
        <f aca="false">IF(I577=0,1,0)</f>
        <v>0</v>
      </c>
      <c r="K577" s="16" t="n">
        <f aca="false">IF(I577&lt;=1,1,0)</f>
        <v>1</v>
      </c>
      <c r="L577" s="16" t="s">
        <v>76</v>
      </c>
      <c r="M577" s="16" t="s">
        <v>326</v>
      </c>
    </row>
    <row r="578" customFormat="false" ht="15" hidden="false" customHeight="false" outlineLevel="0" collapsed="false">
      <c r="A578" s="16" t="s">
        <v>53</v>
      </c>
      <c r="B578" s="16" t="s">
        <v>52</v>
      </c>
      <c r="C578" s="16" t="s">
        <v>116</v>
      </c>
      <c r="D578" s="16" t="s">
        <v>129</v>
      </c>
      <c r="E578" s="16" t="s">
        <v>136</v>
      </c>
      <c r="F578" s="16" t="n">
        <v>2</v>
      </c>
      <c r="G578" s="16" t="n">
        <v>3</v>
      </c>
      <c r="H578" s="16" t="n">
        <f aca="false">G578-F578</f>
        <v>1</v>
      </c>
      <c r="I578" s="16" t="n">
        <f aca="false">ABS(H578)</f>
        <v>1</v>
      </c>
      <c r="J578" s="16" t="n">
        <f aca="false">IF(I578=0,1,0)</f>
        <v>0</v>
      </c>
      <c r="K578" s="16" t="n">
        <f aca="false">IF(I578&lt;=1,1,0)</f>
        <v>1</v>
      </c>
      <c r="L578" s="16" t="s">
        <v>76</v>
      </c>
      <c r="M578" s="16" t="s">
        <v>326</v>
      </c>
    </row>
    <row r="579" customFormat="false" ht="15" hidden="false" customHeight="false" outlineLevel="0" collapsed="false">
      <c r="A579" s="5" t="s">
        <v>53</v>
      </c>
      <c r="B579" s="5" t="s">
        <v>52</v>
      </c>
      <c r="C579" s="5" t="s">
        <v>116</v>
      </c>
      <c r="D579" s="5" t="s">
        <v>129</v>
      </c>
      <c r="E579" s="5" t="s">
        <v>137</v>
      </c>
      <c r="F579" s="5" t="n">
        <v>3</v>
      </c>
      <c r="G579" s="5" t="n">
        <v>3</v>
      </c>
      <c r="H579" s="5" t="n">
        <f aca="false">G579-F579</f>
        <v>0</v>
      </c>
      <c r="I579" s="5" t="n">
        <f aca="false">ABS(H579)</f>
        <v>0</v>
      </c>
      <c r="J579" s="5" t="n">
        <f aca="false">IF(I579=0,1,0)</f>
        <v>1</v>
      </c>
      <c r="K579" s="5" t="n">
        <f aca="false">IF(I579&lt;=1,1,0)</f>
        <v>1</v>
      </c>
      <c r="L579" s="5" t="s">
        <v>71</v>
      </c>
      <c r="M579" s="5" t="s">
        <v>326</v>
      </c>
    </row>
    <row r="580" customFormat="false" ht="15" hidden="false" customHeight="false" outlineLevel="0" collapsed="false">
      <c r="A580" s="5" t="s">
        <v>53</v>
      </c>
      <c r="B580" s="5" t="s">
        <v>52</v>
      </c>
      <c r="C580" s="5" t="s">
        <v>116</v>
      </c>
      <c r="D580" s="5" t="s">
        <v>138</v>
      </c>
      <c r="E580" s="5" t="s">
        <v>139</v>
      </c>
      <c r="F580" s="5" t="n">
        <v>3</v>
      </c>
      <c r="G580" s="5" t="n">
        <v>3</v>
      </c>
      <c r="H580" s="5" t="n">
        <f aca="false">G580-F580</f>
        <v>0</v>
      </c>
      <c r="I580" s="5" t="n">
        <f aca="false">ABS(H580)</f>
        <v>0</v>
      </c>
      <c r="J580" s="5" t="n">
        <f aca="false">IF(I580=0,1,0)</f>
        <v>1</v>
      </c>
      <c r="K580" s="5" t="n">
        <f aca="false">IF(I580&lt;=1,1,0)</f>
        <v>1</v>
      </c>
      <c r="L580" s="5" t="s">
        <v>71</v>
      </c>
      <c r="M580" s="5" t="s">
        <v>327</v>
      </c>
    </row>
    <row r="581" customFormat="false" ht="15" hidden="false" customHeight="false" outlineLevel="0" collapsed="false">
      <c r="A581" s="5" t="s">
        <v>53</v>
      </c>
      <c r="B581" s="5" t="s">
        <v>52</v>
      </c>
      <c r="C581" s="5" t="s">
        <v>116</v>
      </c>
      <c r="D581" s="5" t="s">
        <v>138</v>
      </c>
      <c r="E581" s="5" t="s">
        <v>141</v>
      </c>
      <c r="F581" s="5" t="n">
        <v>3</v>
      </c>
      <c r="G581" s="5" t="n">
        <v>3</v>
      </c>
      <c r="H581" s="5" t="n">
        <f aca="false">G581-F581</f>
        <v>0</v>
      </c>
      <c r="I581" s="5" t="n">
        <f aca="false">ABS(H581)</f>
        <v>0</v>
      </c>
      <c r="J581" s="5" t="n">
        <f aca="false">IF(I581=0,1,0)</f>
        <v>1</v>
      </c>
      <c r="K581" s="5" t="n">
        <f aca="false">IF(I581&lt;=1,1,0)</f>
        <v>1</v>
      </c>
      <c r="L581" s="5" t="s">
        <v>71</v>
      </c>
      <c r="M581" s="5" t="s">
        <v>327</v>
      </c>
    </row>
    <row r="582" customFormat="false" ht="15" hidden="false" customHeight="false" outlineLevel="0" collapsed="false">
      <c r="A582" s="5" t="s">
        <v>53</v>
      </c>
      <c r="B582" s="5" t="s">
        <v>52</v>
      </c>
      <c r="C582" s="5" t="s">
        <v>116</v>
      </c>
      <c r="D582" s="5" t="s">
        <v>138</v>
      </c>
      <c r="E582" s="5" t="s">
        <v>142</v>
      </c>
      <c r="F582" s="5" t="n">
        <v>2</v>
      </c>
      <c r="G582" s="5" t="n">
        <v>2</v>
      </c>
      <c r="H582" s="5" t="n">
        <f aca="false">G582-F582</f>
        <v>0</v>
      </c>
      <c r="I582" s="5" t="n">
        <f aca="false">ABS(H582)</f>
        <v>0</v>
      </c>
      <c r="J582" s="5" t="n">
        <f aca="false">IF(I582=0,1,0)</f>
        <v>1</v>
      </c>
      <c r="K582" s="5" t="n">
        <f aca="false">IF(I582&lt;=1,1,0)</f>
        <v>1</v>
      </c>
      <c r="L582" s="5" t="s">
        <v>71</v>
      </c>
      <c r="M582" s="5" t="s">
        <v>327</v>
      </c>
    </row>
    <row r="583" customFormat="false" ht="15" hidden="false" customHeight="false" outlineLevel="0" collapsed="false">
      <c r="A583" s="5" t="s">
        <v>53</v>
      </c>
      <c r="B583" s="5" t="s">
        <v>52</v>
      </c>
      <c r="C583" s="5" t="s">
        <v>116</v>
      </c>
      <c r="D583" s="5" t="s">
        <v>138</v>
      </c>
      <c r="E583" s="5" t="s">
        <v>143</v>
      </c>
      <c r="F583" s="5" t="n">
        <v>1</v>
      </c>
      <c r="G583" s="5" t="n">
        <v>1</v>
      </c>
      <c r="H583" s="5" t="n">
        <f aca="false">G583-F583</f>
        <v>0</v>
      </c>
      <c r="I583" s="5" t="n">
        <f aca="false">ABS(H583)</f>
        <v>0</v>
      </c>
      <c r="J583" s="5" t="n">
        <f aca="false">IF(I583=0,1,0)</f>
        <v>1</v>
      </c>
      <c r="K583" s="5" t="n">
        <f aca="false">IF(I583&lt;=1,1,0)</f>
        <v>1</v>
      </c>
      <c r="L583" s="5" t="s">
        <v>71</v>
      </c>
      <c r="M583" s="5" t="s">
        <v>327</v>
      </c>
    </row>
    <row r="584" customFormat="false" ht="15" hidden="false" customHeight="false" outlineLevel="0" collapsed="false">
      <c r="A584" s="16" t="s">
        <v>53</v>
      </c>
      <c r="B584" s="16" t="s">
        <v>52</v>
      </c>
      <c r="C584" s="16" t="s">
        <v>116</v>
      </c>
      <c r="D584" s="16" t="s">
        <v>138</v>
      </c>
      <c r="E584" s="16" t="s">
        <v>144</v>
      </c>
      <c r="F584" s="16" t="n">
        <v>2</v>
      </c>
      <c r="G584" s="16" t="n">
        <v>3</v>
      </c>
      <c r="H584" s="16" t="n">
        <f aca="false">G584-F584</f>
        <v>1</v>
      </c>
      <c r="I584" s="16" t="n">
        <f aca="false">ABS(H584)</f>
        <v>1</v>
      </c>
      <c r="J584" s="16" t="n">
        <f aca="false">IF(I584=0,1,0)</f>
        <v>0</v>
      </c>
      <c r="K584" s="16" t="n">
        <f aca="false">IF(I584&lt;=1,1,0)</f>
        <v>1</v>
      </c>
      <c r="L584" s="16" t="s">
        <v>76</v>
      </c>
      <c r="M584" s="16" t="s">
        <v>327</v>
      </c>
    </row>
    <row r="585" customFormat="false" ht="15" hidden="false" customHeight="false" outlineLevel="0" collapsed="false">
      <c r="A585" s="16" t="s">
        <v>53</v>
      </c>
      <c r="B585" s="16" t="s">
        <v>52</v>
      </c>
      <c r="C585" s="16" t="s">
        <v>116</v>
      </c>
      <c r="D585" s="16" t="s">
        <v>138</v>
      </c>
      <c r="E585" s="16" t="s">
        <v>127</v>
      </c>
      <c r="F585" s="16" t="n">
        <v>2</v>
      </c>
      <c r="G585" s="16" t="n">
        <v>3</v>
      </c>
      <c r="H585" s="16" t="n">
        <f aca="false">G585-F585</f>
        <v>1</v>
      </c>
      <c r="I585" s="16" t="n">
        <f aca="false">ABS(H585)</f>
        <v>1</v>
      </c>
      <c r="J585" s="16" t="n">
        <f aca="false">IF(I585=0,1,0)</f>
        <v>0</v>
      </c>
      <c r="K585" s="16" t="n">
        <f aca="false">IF(I585&lt;=1,1,0)</f>
        <v>1</v>
      </c>
      <c r="L585" s="16" t="s">
        <v>76</v>
      </c>
      <c r="M585" s="16" t="s">
        <v>327</v>
      </c>
    </row>
    <row r="586" customFormat="false" ht="15" hidden="false" customHeight="false" outlineLevel="0" collapsed="false">
      <c r="A586" s="5" t="s">
        <v>53</v>
      </c>
      <c r="B586" s="5" t="s">
        <v>52</v>
      </c>
      <c r="C586" s="5" t="s">
        <v>145</v>
      </c>
      <c r="D586" s="5" t="s">
        <v>69</v>
      </c>
      <c r="E586" s="5" t="s">
        <v>146</v>
      </c>
      <c r="F586" s="5" t="n">
        <v>3</v>
      </c>
      <c r="G586" s="5" t="n">
        <v>3</v>
      </c>
      <c r="H586" s="5" t="n">
        <f aca="false">G586-F586</f>
        <v>0</v>
      </c>
      <c r="I586" s="5" t="n">
        <f aca="false">ABS(H586)</f>
        <v>0</v>
      </c>
      <c r="J586" s="5" t="n">
        <f aca="false">IF(I586=0,1,0)</f>
        <v>1</v>
      </c>
      <c r="K586" s="5" t="n">
        <f aca="false">IF(I586&lt;=1,1,0)</f>
        <v>1</v>
      </c>
      <c r="L586" s="5" t="s">
        <v>71</v>
      </c>
      <c r="M586" s="5" t="s">
        <v>328</v>
      </c>
    </row>
    <row r="587" customFormat="false" ht="15" hidden="false" customHeight="false" outlineLevel="0" collapsed="false">
      <c r="A587" s="5" t="s">
        <v>53</v>
      </c>
      <c r="B587" s="5" t="s">
        <v>52</v>
      </c>
      <c r="C587" s="5" t="s">
        <v>145</v>
      </c>
      <c r="D587" s="5" t="s">
        <v>69</v>
      </c>
      <c r="E587" s="5" t="s">
        <v>117</v>
      </c>
      <c r="F587" s="5" t="n">
        <v>3</v>
      </c>
      <c r="G587" s="5" t="n">
        <v>3</v>
      </c>
      <c r="H587" s="5" t="n">
        <f aca="false">G587-F587</f>
        <v>0</v>
      </c>
      <c r="I587" s="5" t="n">
        <f aca="false">ABS(H587)</f>
        <v>0</v>
      </c>
      <c r="J587" s="5" t="n">
        <f aca="false">IF(I587=0,1,0)</f>
        <v>1</v>
      </c>
      <c r="K587" s="5" t="n">
        <f aca="false">IF(I587&lt;=1,1,0)</f>
        <v>1</v>
      </c>
      <c r="L587" s="5" t="s">
        <v>71</v>
      </c>
      <c r="M587" s="5" t="s">
        <v>328</v>
      </c>
    </row>
    <row r="588" customFormat="false" ht="15" hidden="false" customHeight="false" outlineLevel="0" collapsed="false">
      <c r="A588" s="5" t="s">
        <v>53</v>
      </c>
      <c r="B588" s="5" t="s">
        <v>52</v>
      </c>
      <c r="C588" s="5" t="s">
        <v>145</v>
      </c>
      <c r="D588" s="5" t="s">
        <v>69</v>
      </c>
      <c r="E588" s="5" t="s">
        <v>148</v>
      </c>
      <c r="F588" s="5" t="n">
        <v>3</v>
      </c>
      <c r="G588" s="5" t="n">
        <v>3</v>
      </c>
      <c r="H588" s="5" t="n">
        <f aca="false">G588-F588</f>
        <v>0</v>
      </c>
      <c r="I588" s="5" t="n">
        <f aca="false">ABS(H588)</f>
        <v>0</v>
      </c>
      <c r="J588" s="5" t="n">
        <f aca="false">IF(I588=0,1,0)</f>
        <v>1</v>
      </c>
      <c r="K588" s="5" t="n">
        <f aca="false">IF(I588&lt;=1,1,0)</f>
        <v>1</v>
      </c>
      <c r="L588" s="5" t="s">
        <v>71</v>
      </c>
      <c r="M588" s="5" t="s">
        <v>328</v>
      </c>
    </row>
    <row r="589" customFormat="false" ht="15" hidden="false" customHeight="false" outlineLevel="0" collapsed="false">
      <c r="A589" s="5" t="s">
        <v>53</v>
      </c>
      <c r="B589" s="5" t="s">
        <v>52</v>
      </c>
      <c r="C589" s="5" t="s">
        <v>145</v>
      </c>
      <c r="D589" s="5" t="s">
        <v>69</v>
      </c>
      <c r="E589" s="5" t="s">
        <v>149</v>
      </c>
      <c r="F589" s="5" t="n">
        <v>3</v>
      </c>
      <c r="G589" s="5" t="n">
        <v>3</v>
      </c>
      <c r="H589" s="5" t="n">
        <f aca="false">G589-F589</f>
        <v>0</v>
      </c>
      <c r="I589" s="5" t="n">
        <f aca="false">ABS(H589)</f>
        <v>0</v>
      </c>
      <c r="J589" s="5" t="n">
        <f aca="false">IF(I589=0,1,0)</f>
        <v>1</v>
      </c>
      <c r="K589" s="5" t="n">
        <f aca="false">IF(I589&lt;=1,1,0)</f>
        <v>1</v>
      </c>
      <c r="L589" s="5" t="s">
        <v>71</v>
      </c>
      <c r="M589" s="5" t="s">
        <v>328</v>
      </c>
    </row>
    <row r="590" customFormat="false" ht="15" hidden="false" customHeight="false" outlineLevel="0" collapsed="false">
      <c r="A590" s="16" t="s">
        <v>53</v>
      </c>
      <c r="B590" s="16" t="s">
        <v>52</v>
      </c>
      <c r="C590" s="16" t="s">
        <v>145</v>
      </c>
      <c r="D590" s="16" t="s">
        <v>114</v>
      </c>
      <c r="E590" s="16" t="s">
        <v>150</v>
      </c>
      <c r="F590" s="16" t="n">
        <v>0</v>
      </c>
      <c r="G590" s="16" t="n">
        <v>3</v>
      </c>
      <c r="H590" s="16" t="n">
        <f aca="false">G590-F590</f>
        <v>3</v>
      </c>
      <c r="I590" s="16" t="n">
        <f aca="false">ABS(H590)</f>
        <v>3</v>
      </c>
      <c r="J590" s="16" t="n">
        <f aca="false">IF(I590=0,1,0)</f>
        <v>0</v>
      </c>
      <c r="K590" s="16" t="n">
        <f aca="false">IF(I590&lt;=1,1,0)</f>
        <v>0</v>
      </c>
      <c r="L590" s="16" t="s">
        <v>76</v>
      </c>
      <c r="M590" s="16" t="s">
        <v>329</v>
      </c>
    </row>
    <row r="591" customFormat="false" ht="15" hidden="false" customHeight="false" outlineLevel="0" collapsed="false">
      <c r="A591" s="5" t="s">
        <v>53</v>
      </c>
      <c r="B591" s="5" t="s">
        <v>52</v>
      </c>
      <c r="C591" s="5" t="s">
        <v>145</v>
      </c>
      <c r="D591" s="5" t="s">
        <v>114</v>
      </c>
      <c r="E591" s="5" t="s">
        <v>152</v>
      </c>
      <c r="F591" s="5" t="n">
        <v>2</v>
      </c>
      <c r="G591" s="5" t="n">
        <v>2</v>
      </c>
      <c r="H591" s="5" t="n">
        <f aca="false">G591-F591</f>
        <v>0</v>
      </c>
      <c r="I591" s="5" t="n">
        <f aca="false">ABS(H591)</f>
        <v>0</v>
      </c>
      <c r="J591" s="5" t="n">
        <f aca="false">IF(I591=0,1,0)</f>
        <v>1</v>
      </c>
      <c r="K591" s="5" t="n">
        <f aca="false">IF(I591&lt;=1,1,0)</f>
        <v>1</v>
      </c>
      <c r="L591" s="5" t="s">
        <v>71</v>
      </c>
      <c r="M591" s="5" t="s">
        <v>329</v>
      </c>
    </row>
    <row r="592" customFormat="false" ht="15" hidden="false" customHeight="false" outlineLevel="0" collapsed="false">
      <c r="A592" s="5" t="s">
        <v>53</v>
      </c>
      <c r="B592" s="5" t="s">
        <v>52</v>
      </c>
      <c r="C592" s="5" t="s">
        <v>145</v>
      </c>
      <c r="D592" s="5" t="s">
        <v>114</v>
      </c>
      <c r="E592" s="5" t="s">
        <v>153</v>
      </c>
      <c r="F592" s="5" t="n">
        <v>3</v>
      </c>
      <c r="G592" s="5" t="n">
        <v>3</v>
      </c>
      <c r="H592" s="5" t="n">
        <f aca="false">G592-F592</f>
        <v>0</v>
      </c>
      <c r="I592" s="5" t="n">
        <f aca="false">ABS(H592)</f>
        <v>0</v>
      </c>
      <c r="J592" s="5" t="n">
        <f aca="false">IF(I592=0,1,0)</f>
        <v>1</v>
      </c>
      <c r="K592" s="5" t="n">
        <f aca="false">IF(I592&lt;=1,1,0)</f>
        <v>1</v>
      </c>
      <c r="L592" s="5" t="s">
        <v>71</v>
      </c>
      <c r="M592" s="5" t="s">
        <v>329</v>
      </c>
    </row>
    <row r="593" customFormat="false" ht="15" hidden="false" customHeight="false" outlineLevel="0" collapsed="false">
      <c r="A593" s="16" t="s">
        <v>53</v>
      </c>
      <c r="B593" s="16" t="s">
        <v>52</v>
      </c>
      <c r="C593" s="16" t="s">
        <v>145</v>
      </c>
      <c r="D593" s="16" t="s">
        <v>114</v>
      </c>
      <c r="E593" s="16" t="s">
        <v>154</v>
      </c>
      <c r="F593" s="16" t="n">
        <v>1</v>
      </c>
      <c r="G593" s="16" t="n">
        <v>3</v>
      </c>
      <c r="H593" s="16" t="n">
        <f aca="false">G593-F593</f>
        <v>2</v>
      </c>
      <c r="I593" s="16" t="n">
        <f aca="false">ABS(H593)</f>
        <v>2</v>
      </c>
      <c r="J593" s="16" t="n">
        <f aca="false">IF(I593=0,1,0)</f>
        <v>0</v>
      </c>
      <c r="K593" s="16" t="n">
        <f aca="false">IF(I593&lt;=1,1,0)</f>
        <v>0</v>
      </c>
      <c r="L593" s="16" t="s">
        <v>76</v>
      </c>
      <c r="M593" s="16" t="s">
        <v>329</v>
      </c>
    </row>
    <row r="594" customFormat="false" ht="15" hidden="false" customHeight="false" outlineLevel="0" collapsed="false">
      <c r="A594" s="5" t="s">
        <v>53</v>
      </c>
      <c r="B594" s="5" t="s">
        <v>52</v>
      </c>
      <c r="C594" s="5" t="s">
        <v>145</v>
      </c>
      <c r="D594" s="5" t="s">
        <v>114</v>
      </c>
      <c r="E594" s="5" t="s">
        <v>155</v>
      </c>
      <c r="F594" s="5" t="n">
        <v>2</v>
      </c>
      <c r="G594" s="5" t="n">
        <v>2</v>
      </c>
      <c r="H594" s="5" t="n">
        <f aca="false">G594-F594</f>
        <v>0</v>
      </c>
      <c r="I594" s="5" t="n">
        <f aca="false">ABS(H594)</f>
        <v>0</v>
      </c>
      <c r="J594" s="5" t="n">
        <f aca="false">IF(I594=0,1,0)</f>
        <v>1</v>
      </c>
      <c r="K594" s="5" t="n">
        <f aca="false">IF(I594&lt;=1,1,0)</f>
        <v>1</v>
      </c>
      <c r="L594" s="5" t="s">
        <v>71</v>
      </c>
      <c r="M594" s="5" t="s">
        <v>329</v>
      </c>
    </row>
    <row r="595" customFormat="false" ht="15" hidden="false" customHeight="false" outlineLevel="0" collapsed="false">
      <c r="A595" s="5" t="s">
        <v>53</v>
      </c>
      <c r="B595" s="5" t="s">
        <v>52</v>
      </c>
      <c r="C595" s="5" t="s">
        <v>145</v>
      </c>
      <c r="D595" s="5" t="s">
        <v>156</v>
      </c>
      <c r="E595" s="5" t="s">
        <v>157</v>
      </c>
      <c r="F595" s="5" t="n">
        <v>2</v>
      </c>
      <c r="G595" s="5" t="n">
        <v>2</v>
      </c>
      <c r="H595" s="5" t="n">
        <f aca="false">G595-F595</f>
        <v>0</v>
      </c>
      <c r="I595" s="5" t="n">
        <f aca="false">ABS(H595)</f>
        <v>0</v>
      </c>
      <c r="J595" s="5" t="n">
        <f aca="false">IF(I595=0,1,0)</f>
        <v>1</v>
      </c>
      <c r="K595" s="5" t="n">
        <f aca="false">IF(I595&lt;=1,1,0)</f>
        <v>1</v>
      </c>
      <c r="L595" s="5" t="s">
        <v>71</v>
      </c>
      <c r="M595" s="5" t="s">
        <v>330</v>
      </c>
    </row>
    <row r="596" customFormat="false" ht="15" hidden="false" customHeight="false" outlineLevel="0" collapsed="false">
      <c r="A596" s="5" t="s">
        <v>53</v>
      </c>
      <c r="B596" s="5" t="s">
        <v>52</v>
      </c>
      <c r="C596" s="5" t="s">
        <v>145</v>
      </c>
      <c r="D596" s="5" t="s">
        <v>156</v>
      </c>
      <c r="E596" s="5" t="s">
        <v>159</v>
      </c>
      <c r="F596" s="5" t="n">
        <v>3</v>
      </c>
      <c r="G596" s="5" t="n">
        <v>3</v>
      </c>
      <c r="H596" s="5" t="n">
        <f aca="false">G596-F596</f>
        <v>0</v>
      </c>
      <c r="I596" s="5" t="n">
        <f aca="false">ABS(H596)</f>
        <v>0</v>
      </c>
      <c r="J596" s="5" t="n">
        <f aca="false">IF(I596=0,1,0)</f>
        <v>1</v>
      </c>
      <c r="K596" s="5" t="n">
        <f aca="false">IF(I596&lt;=1,1,0)</f>
        <v>1</v>
      </c>
      <c r="L596" s="5" t="s">
        <v>71</v>
      </c>
      <c r="M596" s="5" t="s">
        <v>330</v>
      </c>
    </row>
    <row r="597" customFormat="false" ht="15" hidden="false" customHeight="false" outlineLevel="0" collapsed="false">
      <c r="A597" s="5" t="s">
        <v>53</v>
      </c>
      <c r="B597" s="5" t="s">
        <v>52</v>
      </c>
      <c r="C597" s="5" t="s">
        <v>145</v>
      </c>
      <c r="D597" s="5" t="s">
        <v>156</v>
      </c>
      <c r="E597" s="5" t="s">
        <v>160</v>
      </c>
      <c r="F597" s="5" t="n">
        <v>2</v>
      </c>
      <c r="G597" s="5" t="n">
        <v>2</v>
      </c>
      <c r="H597" s="5" t="n">
        <f aca="false">G597-F597</f>
        <v>0</v>
      </c>
      <c r="I597" s="5" t="n">
        <f aca="false">ABS(H597)</f>
        <v>0</v>
      </c>
      <c r="J597" s="5" t="n">
        <f aca="false">IF(I597=0,1,0)</f>
        <v>1</v>
      </c>
      <c r="K597" s="5" t="n">
        <f aca="false">IF(I597&lt;=1,1,0)</f>
        <v>1</v>
      </c>
      <c r="L597" s="5" t="s">
        <v>71</v>
      </c>
      <c r="M597" s="5" t="s">
        <v>330</v>
      </c>
    </row>
    <row r="598" customFormat="false" ht="15" hidden="false" customHeight="false" outlineLevel="0" collapsed="false">
      <c r="A598" s="5" t="s">
        <v>53</v>
      </c>
      <c r="B598" s="5" t="s">
        <v>52</v>
      </c>
      <c r="C598" s="5" t="s">
        <v>145</v>
      </c>
      <c r="D598" s="5" t="s">
        <v>156</v>
      </c>
      <c r="E598" s="5" t="s">
        <v>161</v>
      </c>
      <c r="F598" s="5" t="n">
        <v>3</v>
      </c>
      <c r="G598" s="5" t="n">
        <v>3</v>
      </c>
      <c r="H598" s="5" t="n">
        <f aca="false">G598-F598</f>
        <v>0</v>
      </c>
      <c r="I598" s="5" t="n">
        <f aca="false">ABS(H598)</f>
        <v>0</v>
      </c>
      <c r="J598" s="5" t="n">
        <f aca="false">IF(I598=0,1,0)</f>
        <v>1</v>
      </c>
      <c r="K598" s="5" t="n">
        <f aca="false">IF(I598&lt;=1,1,0)</f>
        <v>1</v>
      </c>
      <c r="L598" s="5" t="s">
        <v>71</v>
      </c>
      <c r="M598" s="5" t="s">
        <v>330</v>
      </c>
    </row>
    <row r="599" customFormat="false" ht="15" hidden="false" customHeight="false" outlineLevel="0" collapsed="false">
      <c r="A599" s="16" t="s">
        <v>53</v>
      </c>
      <c r="B599" s="16" t="s">
        <v>52</v>
      </c>
      <c r="C599" s="16" t="s">
        <v>145</v>
      </c>
      <c r="D599" s="16" t="s">
        <v>156</v>
      </c>
      <c r="E599" s="16" t="s">
        <v>162</v>
      </c>
      <c r="F599" s="16" t="n">
        <v>2</v>
      </c>
      <c r="G599" s="16" t="n">
        <v>3</v>
      </c>
      <c r="H599" s="16" t="n">
        <f aca="false">G599-F599</f>
        <v>1</v>
      </c>
      <c r="I599" s="16" t="n">
        <f aca="false">ABS(H599)</f>
        <v>1</v>
      </c>
      <c r="J599" s="16" t="n">
        <f aca="false">IF(I599=0,1,0)</f>
        <v>0</v>
      </c>
      <c r="K599" s="16" t="n">
        <f aca="false">IF(I599&lt;=1,1,0)</f>
        <v>1</v>
      </c>
      <c r="L599" s="16" t="s">
        <v>76</v>
      </c>
      <c r="M599" s="16" t="s">
        <v>330</v>
      </c>
    </row>
    <row r="600" customFormat="false" ht="15" hidden="false" customHeight="false" outlineLevel="0" collapsed="false">
      <c r="A600" s="5" t="s">
        <v>53</v>
      </c>
      <c r="B600" s="5" t="s">
        <v>52</v>
      </c>
      <c r="C600" s="5" t="s">
        <v>145</v>
      </c>
      <c r="D600" s="5" t="s">
        <v>163</v>
      </c>
      <c r="E600" s="5" t="s">
        <v>164</v>
      </c>
      <c r="F600" s="5" t="n">
        <v>3</v>
      </c>
      <c r="G600" s="5" t="n">
        <v>3</v>
      </c>
      <c r="H600" s="5" t="n">
        <f aca="false">G600-F600</f>
        <v>0</v>
      </c>
      <c r="I600" s="5" t="n">
        <f aca="false">ABS(H600)</f>
        <v>0</v>
      </c>
      <c r="J600" s="5" t="n">
        <f aca="false">IF(I600=0,1,0)</f>
        <v>1</v>
      </c>
      <c r="K600" s="5" t="n">
        <f aca="false">IF(I600&lt;=1,1,0)</f>
        <v>1</v>
      </c>
      <c r="L600" s="5" t="s">
        <v>71</v>
      </c>
      <c r="M600" s="5" t="s">
        <v>331</v>
      </c>
    </row>
    <row r="601" customFormat="false" ht="15" hidden="false" customHeight="false" outlineLevel="0" collapsed="false">
      <c r="A601" s="5" t="s">
        <v>53</v>
      </c>
      <c r="B601" s="5" t="s">
        <v>52</v>
      </c>
      <c r="C601" s="5" t="s">
        <v>145</v>
      </c>
      <c r="D601" s="5" t="s">
        <v>163</v>
      </c>
      <c r="E601" s="5" t="s">
        <v>166</v>
      </c>
      <c r="F601" s="5" t="n">
        <v>3</v>
      </c>
      <c r="G601" s="5" t="n">
        <v>3</v>
      </c>
      <c r="H601" s="5" t="n">
        <f aca="false">G601-F601</f>
        <v>0</v>
      </c>
      <c r="I601" s="5" t="n">
        <f aca="false">ABS(H601)</f>
        <v>0</v>
      </c>
      <c r="J601" s="5" t="n">
        <f aca="false">IF(I601=0,1,0)</f>
        <v>1</v>
      </c>
      <c r="K601" s="5" t="n">
        <f aca="false">IF(I601&lt;=1,1,0)</f>
        <v>1</v>
      </c>
      <c r="L601" s="5" t="s">
        <v>71</v>
      </c>
      <c r="M601" s="5" t="s">
        <v>331</v>
      </c>
    </row>
    <row r="602" customFormat="false" ht="15" hidden="false" customHeight="false" outlineLevel="0" collapsed="false">
      <c r="A602" s="5" t="s">
        <v>53</v>
      </c>
      <c r="B602" s="5" t="s">
        <v>52</v>
      </c>
      <c r="C602" s="5" t="s">
        <v>145</v>
      </c>
      <c r="D602" s="5" t="s">
        <v>163</v>
      </c>
      <c r="E602" s="5" t="s">
        <v>167</v>
      </c>
      <c r="F602" s="5" t="n">
        <v>3</v>
      </c>
      <c r="G602" s="5" t="n">
        <v>3</v>
      </c>
      <c r="H602" s="5" t="n">
        <f aca="false">G602-F602</f>
        <v>0</v>
      </c>
      <c r="I602" s="5" t="n">
        <f aca="false">ABS(H602)</f>
        <v>0</v>
      </c>
      <c r="J602" s="5" t="n">
        <f aca="false">IF(I602=0,1,0)</f>
        <v>1</v>
      </c>
      <c r="K602" s="5" t="n">
        <f aca="false">IF(I602&lt;=1,1,0)</f>
        <v>1</v>
      </c>
      <c r="L602" s="5" t="s">
        <v>71</v>
      </c>
      <c r="M602" s="5" t="s">
        <v>331</v>
      </c>
    </row>
    <row r="603" customFormat="false" ht="15" hidden="false" customHeight="false" outlineLevel="0" collapsed="false">
      <c r="A603" s="16" t="s">
        <v>53</v>
      </c>
      <c r="B603" s="16" t="s">
        <v>52</v>
      </c>
      <c r="C603" s="16" t="s">
        <v>145</v>
      </c>
      <c r="D603" s="16" t="s">
        <v>163</v>
      </c>
      <c r="E603" s="16" t="s">
        <v>168</v>
      </c>
      <c r="F603" s="16" t="n">
        <v>2</v>
      </c>
      <c r="G603" s="16" t="n">
        <v>3</v>
      </c>
      <c r="H603" s="16" t="n">
        <f aca="false">G603-F603</f>
        <v>1</v>
      </c>
      <c r="I603" s="16" t="n">
        <f aca="false">ABS(H603)</f>
        <v>1</v>
      </c>
      <c r="J603" s="16" t="n">
        <f aca="false">IF(I603=0,1,0)</f>
        <v>0</v>
      </c>
      <c r="K603" s="16" t="n">
        <f aca="false">IF(I603&lt;=1,1,0)</f>
        <v>1</v>
      </c>
      <c r="L603" s="16" t="s">
        <v>76</v>
      </c>
      <c r="M603" s="16" t="s">
        <v>331</v>
      </c>
    </row>
    <row r="604" customFormat="false" ht="15" hidden="false" customHeight="false" outlineLevel="0" collapsed="false">
      <c r="A604" s="5" t="s">
        <v>53</v>
      </c>
      <c r="B604" s="5" t="s">
        <v>52</v>
      </c>
      <c r="C604" s="5" t="s">
        <v>145</v>
      </c>
      <c r="D604" s="5" t="s">
        <v>163</v>
      </c>
      <c r="E604" s="5" t="s">
        <v>169</v>
      </c>
      <c r="F604" s="5" t="n">
        <v>3</v>
      </c>
      <c r="G604" s="5" t="n">
        <v>3</v>
      </c>
      <c r="H604" s="5" t="n">
        <f aca="false">G604-F604</f>
        <v>0</v>
      </c>
      <c r="I604" s="5" t="n">
        <f aca="false">ABS(H604)</f>
        <v>0</v>
      </c>
      <c r="J604" s="5" t="n">
        <f aca="false">IF(I604=0,1,0)</f>
        <v>1</v>
      </c>
      <c r="K604" s="5" t="n">
        <f aca="false">IF(I604&lt;=1,1,0)</f>
        <v>1</v>
      </c>
      <c r="L604" s="5" t="s">
        <v>71</v>
      </c>
      <c r="M604" s="5" t="s">
        <v>331</v>
      </c>
    </row>
    <row r="605" customFormat="false" ht="15" hidden="false" customHeight="false" outlineLevel="0" collapsed="false">
      <c r="A605" s="5" t="s">
        <v>53</v>
      </c>
      <c r="B605" s="5" t="s">
        <v>52</v>
      </c>
      <c r="C605" s="5" t="s">
        <v>170</v>
      </c>
      <c r="D605" s="5" t="s">
        <v>69</v>
      </c>
      <c r="E605" s="5" t="s">
        <v>171</v>
      </c>
      <c r="F605" s="5" t="n">
        <v>3</v>
      </c>
      <c r="G605" s="5" t="n">
        <v>3</v>
      </c>
      <c r="H605" s="5" t="n">
        <f aca="false">G605-F605</f>
        <v>0</v>
      </c>
      <c r="I605" s="5" t="n">
        <f aca="false">ABS(H605)</f>
        <v>0</v>
      </c>
      <c r="J605" s="5" t="n">
        <f aca="false">IF(I605=0,1,0)</f>
        <v>1</v>
      </c>
      <c r="K605" s="5" t="n">
        <f aca="false">IF(I605&lt;=1,1,0)</f>
        <v>1</v>
      </c>
      <c r="L605" s="5" t="s">
        <v>71</v>
      </c>
      <c r="M605" s="5" t="s">
        <v>332</v>
      </c>
    </row>
    <row r="606" customFormat="false" ht="15" hidden="false" customHeight="false" outlineLevel="0" collapsed="false">
      <c r="A606" s="5" t="s">
        <v>53</v>
      </c>
      <c r="B606" s="5" t="s">
        <v>52</v>
      </c>
      <c r="C606" s="5" t="s">
        <v>170</v>
      </c>
      <c r="D606" s="5" t="s">
        <v>69</v>
      </c>
      <c r="E606" s="5" t="s">
        <v>173</v>
      </c>
      <c r="F606" s="5" t="n">
        <v>3</v>
      </c>
      <c r="G606" s="5" t="n">
        <v>3</v>
      </c>
      <c r="H606" s="5" t="n">
        <f aca="false">G606-F606</f>
        <v>0</v>
      </c>
      <c r="I606" s="5" t="n">
        <f aca="false">ABS(H606)</f>
        <v>0</v>
      </c>
      <c r="J606" s="5" t="n">
        <f aca="false">IF(I606=0,1,0)</f>
        <v>1</v>
      </c>
      <c r="K606" s="5" t="n">
        <f aca="false">IF(I606&lt;=1,1,0)</f>
        <v>1</v>
      </c>
      <c r="L606" s="5" t="s">
        <v>71</v>
      </c>
      <c r="M606" s="5" t="s">
        <v>332</v>
      </c>
    </row>
    <row r="607" customFormat="false" ht="15" hidden="false" customHeight="false" outlineLevel="0" collapsed="false">
      <c r="A607" s="5" t="s">
        <v>53</v>
      </c>
      <c r="B607" s="5" t="s">
        <v>52</v>
      </c>
      <c r="C607" s="5" t="s">
        <v>170</v>
      </c>
      <c r="D607" s="5" t="s">
        <v>69</v>
      </c>
      <c r="E607" s="5" t="s">
        <v>174</v>
      </c>
      <c r="F607" s="5" t="n">
        <v>3</v>
      </c>
      <c r="G607" s="5" t="n">
        <v>3</v>
      </c>
      <c r="H607" s="5" t="n">
        <f aca="false">G607-F607</f>
        <v>0</v>
      </c>
      <c r="I607" s="5" t="n">
        <f aca="false">ABS(H607)</f>
        <v>0</v>
      </c>
      <c r="J607" s="5" t="n">
        <f aca="false">IF(I607=0,1,0)</f>
        <v>1</v>
      </c>
      <c r="K607" s="5" t="n">
        <f aca="false">IF(I607&lt;=1,1,0)</f>
        <v>1</v>
      </c>
      <c r="L607" s="5" t="s">
        <v>71</v>
      </c>
      <c r="M607" s="5" t="s">
        <v>332</v>
      </c>
    </row>
    <row r="608" customFormat="false" ht="15" hidden="false" customHeight="false" outlineLevel="0" collapsed="false">
      <c r="A608" s="5" t="s">
        <v>53</v>
      </c>
      <c r="B608" s="5" t="s">
        <v>52</v>
      </c>
      <c r="C608" s="5" t="s">
        <v>170</v>
      </c>
      <c r="D608" s="5" t="s">
        <v>107</v>
      </c>
      <c r="E608" s="5" t="s">
        <v>175</v>
      </c>
      <c r="F608" s="5" t="n">
        <v>2</v>
      </c>
      <c r="G608" s="5" t="n">
        <v>2</v>
      </c>
      <c r="H608" s="5" t="n">
        <f aca="false">G608-F608</f>
        <v>0</v>
      </c>
      <c r="I608" s="5" t="n">
        <f aca="false">ABS(H608)</f>
        <v>0</v>
      </c>
      <c r="J608" s="5" t="n">
        <f aca="false">IF(I608=0,1,0)</f>
        <v>1</v>
      </c>
      <c r="K608" s="5" t="n">
        <f aca="false">IF(I608&lt;=1,1,0)</f>
        <v>1</v>
      </c>
      <c r="L608" s="5" t="s">
        <v>71</v>
      </c>
      <c r="M608" s="5" t="s">
        <v>333</v>
      </c>
    </row>
    <row r="609" customFormat="false" ht="15" hidden="false" customHeight="false" outlineLevel="0" collapsed="false">
      <c r="A609" s="5" t="s">
        <v>53</v>
      </c>
      <c r="B609" s="5" t="s">
        <v>52</v>
      </c>
      <c r="C609" s="5" t="s">
        <v>170</v>
      </c>
      <c r="D609" s="5" t="s">
        <v>107</v>
      </c>
      <c r="E609" s="5" t="s">
        <v>177</v>
      </c>
      <c r="F609" s="5" t="n">
        <v>1</v>
      </c>
      <c r="G609" s="5" t="n">
        <v>1</v>
      </c>
      <c r="H609" s="5" t="n">
        <f aca="false">G609-F609</f>
        <v>0</v>
      </c>
      <c r="I609" s="5" t="n">
        <f aca="false">ABS(H609)</f>
        <v>0</v>
      </c>
      <c r="J609" s="5" t="n">
        <f aca="false">IF(I609=0,1,0)</f>
        <v>1</v>
      </c>
      <c r="K609" s="5" t="n">
        <f aca="false">IF(I609&lt;=1,1,0)</f>
        <v>1</v>
      </c>
      <c r="L609" s="5" t="s">
        <v>71</v>
      </c>
      <c r="M609" s="5" t="s">
        <v>333</v>
      </c>
    </row>
    <row r="610" customFormat="false" ht="15" hidden="false" customHeight="false" outlineLevel="0" collapsed="false">
      <c r="A610" s="5" t="s">
        <v>53</v>
      </c>
      <c r="B610" s="5" t="s">
        <v>52</v>
      </c>
      <c r="C610" s="5" t="s">
        <v>170</v>
      </c>
      <c r="D610" s="5" t="s">
        <v>107</v>
      </c>
      <c r="E610" s="5" t="s">
        <v>178</v>
      </c>
      <c r="F610" s="5" t="n">
        <v>3</v>
      </c>
      <c r="G610" s="5" t="n">
        <v>3</v>
      </c>
      <c r="H610" s="5" t="n">
        <f aca="false">G610-F610</f>
        <v>0</v>
      </c>
      <c r="I610" s="5" t="n">
        <f aca="false">ABS(H610)</f>
        <v>0</v>
      </c>
      <c r="J610" s="5" t="n">
        <f aca="false">IF(I610=0,1,0)</f>
        <v>1</v>
      </c>
      <c r="K610" s="5" t="n">
        <f aca="false">IF(I610&lt;=1,1,0)</f>
        <v>1</v>
      </c>
      <c r="L610" s="5" t="s">
        <v>71</v>
      </c>
      <c r="M610" s="5" t="s">
        <v>333</v>
      </c>
    </row>
    <row r="611" customFormat="false" ht="15" hidden="false" customHeight="false" outlineLevel="0" collapsed="false">
      <c r="A611" s="16" t="s">
        <v>53</v>
      </c>
      <c r="B611" s="16" t="s">
        <v>52</v>
      </c>
      <c r="C611" s="16" t="s">
        <v>170</v>
      </c>
      <c r="D611" s="16" t="s">
        <v>107</v>
      </c>
      <c r="E611" s="16" t="s">
        <v>179</v>
      </c>
      <c r="F611" s="16" t="n">
        <v>2</v>
      </c>
      <c r="G611" s="16" t="n">
        <v>3</v>
      </c>
      <c r="H611" s="16" t="n">
        <f aca="false">G611-F611</f>
        <v>1</v>
      </c>
      <c r="I611" s="16" t="n">
        <f aca="false">ABS(H611)</f>
        <v>1</v>
      </c>
      <c r="J611" s="16" t="n">
        <f aca="false">IF(I611=0,1,0)</f>
        <v>0</v>
      </c>
      <c r="K611" s="16" t="n">
        <f aca="false">IF(I611&lt;=1,1,0)</f>
        <v>1</v>
      </c>
      <c r="L611" s="16" t="s">
        <v>76</v>
      </c>
      <c r="M611" s="16" t="s">
        <v>333</v>
      </c>
    </row>
    <row r="612" customFormat="false" ht="15" hidden="false" customHeight="false" outlineLevel="0" collapsed="false">
      <c r="A612" s="5" t="s">
        <v>53</v>
      </c>
      <c r="B612" s="5" t="s">
        <v>52</v>
      </c>
      <c r="C612" s="5" t="s">
        <v>170</v>
      </c>
      <c r="D612" s="5" t="s">
        <v>107</v>
      </c>
      <c r="E612" s="5" t="s">
        <v>180</v>
      </c>
      <c r="F612" s="5" t="n">
        <v>3</v>
      </c>
      <c r="G612" s="5" t="n">
        <v>3</v>
      </c>
      <c r="H612" s="5" t="n">
        <f aca="false">G612-F612</f>
        <v>0</v>
      </c>
      <c r="I612" s="5" t="n">
        <f aca="false">ABS(H612)</f>
        <v>0</v>
      </c>
      <c r="J612" s="5" t="n">
        <f aca="false">IF(I612=0,1,0)</f>
        <v>1</v>
      </c>
      <c r="K612" s="5" t="n">
        <f aca="false">IF(I612&lt;=1,1,0)</f>
        <v>1</v>
      </c>
      <c r="L612" s="5" t="s">
        <v>71</v>
      </c>
      <c r="M612" s="5" t="s">
        <v>333</v>
      </c>
    </row>
    <row r="613" customFormat="false" ht="15" hidden="false" customHeight="false" outlineLevel="0" collapsed="false">
      <c r="A613" s="5" t="s">
        <v>53</v>
      </c>
      <c r="B613" s="5" t="s">
        <v>52</v>
      </c>
      <c r="C613" s="5" t="s">
        <v>170</v>
      </c>
      <c r="D613" s="5" t="s">
        <v>107</v>
      </c>
      <c r="E613" s="5" t="s">
        <v>181</v>
      </c>
      <c r="F613" s="5" t="n">
        <v>3</v>
      </c>
      <c r="G613" s="5" t="n">
        <v>3</v>
      </c>
      <c r="H613" s="5" t="n">
        <f aca="false">G613-F613</f>
        <v>0</v>
      </c>
      <c r="I613" s="5" t="n">
        <f aca="false">ABS(H613)</f>
        <v>0</v>
      </c>
      <c r="J613" s="5" t="n">
        <f aca="false">IF(I613=0,1,0)</f>
        <v>1</v>
      </c>
      <c r="K613" s="5" t="n">
        <f aca="false">IF(I613&lt;=1,1,0)</f>
        <v>1</v>
      </c>
      <c r="L613" s="5" t="s">
        <v>71</v>
      </c>
      <c r="M613" s="5" t="s">
        <v>333</v>
      </c>
    </row>
    <row r="614" customFormat="false" ht="15" hidden="false" customHeight="false" outlineLevel="0" collapsed="false">
      <c r="A614" s="5" t="s">
        <v>53</v>
      </c>
      <c r="B614" s="5" t="s">
        <v>52</v>
      </c>
      <c r="C614" s="5" t="s">
        <v>170</v>
      </c>
      <c r="D614" s="5" t="s">
        <v>182</v>
      </c>
      <c r="E614" s="5" t="s">
        <v>183</v>
      </c>
      <c r="F614" s="5" t="n">
        <v>3</v>
      </c>
      <c r="G614" s="5" t="n">
        <v>3</v>
      </c>
      <c r="H614" s="5" t="n">
        <f aca="false">G614-F614</f>
        <v>0</v>
      </c>
      <c r="I614" s="5" t="n">
        <f aca="false">ABS(H614)</f>
        <v>0</v>
      </c>
      <c r="J614" s="5" t="n">
        <f aca="false">IF(I614=0,1,0)</f>
        <v>1</v>
      </c>
      <c r="K614" s="5" t="n">
        <f aca="false">IF(I614&lt;=1,1,0)</f>
        <v>1</v>
      </c>
      <c r="L614" s="5" t="s">
        <v>71</v>
      </c>
      <c r="M614" s="5" t="s">
        <v>334</v>
      </c>
    </row>
    <row r="615" customFormat="false" ht="15" hidden="false" customHeight="false" outlineLevel="0" collapsed="false">
      <c r="A615" s="5" t="s">
        <v>53</v>
      </c>
      <c r="B615" s="5" t="s">
        <v>52</v>
      </c>
      <c r="C615" s="5" t="s">
        <v>170</v>
      </c>
      <c r="D615" s="5" t="s">
        <v>182</v>
      </c>
      <c r="E615" s="5" t="s">
        <v>185</v>
      </c>
      <c r="F615" s="5" t="n">
        <v>3</v>
      </c>
      <c r="G615" s="5" t="n">
        <v>3</v>
      </c>
      <c r="H615" s="5" t="n">
        <f aca="false">G615-F615</f>
        <v>0</v>
      </c>
      <c r="I615" s="5" t="n">
        <f aca="false">ABS(H615)</f>
        <v>0</v>
      </c>
      <c r="J615" s="5" t="n">
        <f aca="false">IF(I615=0,1,0)</f>
        <v>1</v>
      </c>
      <c r="K615" s="5" t="n">
        <f aca="false">IF(I615&lt;=1,1,0)</f>
        <v>1</v>
      </c>
      <c r="L615" s="5" t="s">
        <v>71</v>
      </c>
      <c r="M615" s="5" t="s">
        <v>334</v>
      </c>
    </row>
    <row r="616" customFormat="false" ht="15" hidden="false" customHeight="false" outlineLevel="0" collapsed="false">
      <c r="A616" s="5" t="s">
        <v>53</v>
      </c>
      <c r="B616" s="5" t="s">
        <v>52</v>
      </c>
      <c r="C616" s="5" t="s">
        <v>170</v>
      </c>
      <c r="D616" s="5" t="s">
        <v>182</v>
      </c>
      <c r="E616" s="5" t="s">
        <v>186</v>
      </c>
      <c r="F616" s="5" t="n">
        <v>1</v>
      </c>
      <c r="G616" s="5" t="n">
        <v>1</v>
      </c>
      <c r="H616" s="5" t="n">
        <f aca="false">G616-F616</f>
        <v>0</v>
      </c>
      <c r="I616" s="5" t="n">
        <f aca="false">ABS(H616)</f>
        <v>0</v>
      </c>
      <c r="J616" s="5" t="n">
        <f aca="false">IF(I616=0,1,0)</f>
        <v>1</v>
      </c>
      <c r="K616" s="5" t="n">
        <f aca="false">IF(I616&lt;=1,1,0)</f>
        <v>1</v>
      </c>
      <c r="L616" s="5" t="s">
        <v>71</v>
      </c>
      <c r="M616" s="5" t="s">
        <v>334</v>
      </c>
    </row>
    <row r="617" customFormat="false" ht="15" hidden="false" customHeight="false" outlineLevel="0" collapsed="false">
      <c r="A617" s="16" t="s">
        <v>53</v>
      </c>
      <c r="B617" s="16" t="s">
        <v>52</v>
      </c>
      <c r="C617" s="16" t="s">
        <v>170</v>
      </c>
      <c r="D617" s="16" t="s">
        <v>182</v>
      </c>
      <c r="E617" s="16" t="s">
        <v>187</v>
      </c>
      <c r="F617" s="16" t="n">
        <v>2</v>
      </c>
      <c r="G617" s="16" t="n">
        <v>3</v>
      </c>
      <c r="H617" s="16" t="n">
        <f aca="false">G617-F617</f>
        <v>1</v>
      </c>
      <c r="I617" s="16" t="n">
        <f aca="false">ABS(H617)</f>
        <v>1</v>
      </c>
      <c r="J617" s="16" t="n">
        <f aca="false">IF(I617=0,1,0)</f>
        <v>0</v>
      </c>
      <c r="K617" s="16" t="n">
        <f aca="false">IF(I617&lt;=1,1,0)</f>
        <v>1</v>
      </c>
      <c r="L617" s="16" t="s">
        <v>76</v>
      </c>
      <c r="M617" s="16" t="s">
        <v>334</v>
      </c>
    </row>
    <row r="618" customFormat="false" ht="15" hidden="false" customHeight="false" outlineLevel="0" collapsed="false">
      <c r="A618" s="5" t="s">
        <v>53</v>
      </c>
      <c r="B618" s="5" t="s">
        <v>52</v>
      </c>
      <c r="C618" s="5" t="s">
        <v>170</v>
      </c>
      <c r="D618" s="5" t="s">
        <v>182</v>
      </c>
      <c r="E618" s="5" t="s">
        <v>188</v>
      </c>
      <c r="F618" s="5" t="n">
        <v>3</v>
      </c>
      <c r="G618" s="5" t="n">
        <v>3</v>
      </c>
      <c r="H618" s="5" t="n">
        <f aca="false">G618-F618</f>
        <v>0</v>
      </c>
      <c r="I618" s="5" t="n">
        <f aca="false">ABS(H618)</f>
        <v>0</v>
      </c>
      <c r="J618" s="5" t="n">
        <f aca="false">IF(I618=0,1,0)</f>
        <v>1</v>
      </c>
      <c r="K618" s="5" t="n">
        <f aca="false">IF(I618&lt;=1,1,0)</f>
        <v>1</v>
      </c>
      <c r="L618" s="5" t="s">
        <v>71</v>
      </c>
      <c r="M618" s="5" t="s">
        <v>334</v>
      </c>
    </row>
    <row r="619" customFormat="false" ht="15" hidden="false" customHeight="false" outlineLevel="0" collapsed="false">
      <c r="A619" s="16" t="s">
        <v>53</v>
      </c>
      <c r="B619" s="16" t="s">
        <v>52</v>
      </c>
      <c r="C619" s="16" t="s">
        <v>170</v>
      </c>
      <c r="D619" s="16" t="s">
        <v>114</v>
      </c>
      <c r="E619" s="16" t="s">
        <v>189</v>
      </c>
      <c r="F619" s="16" t="n">
        <v>2</v>
      </c>
      <c r="G619" s="16" t="n">
        <v>1</v>
      </c>
      <c r="H619" s="16" t="n">
        <f aca="false">G619-F619</f>
        <v>-1</v>
      </c>
      <c r="I619" s="16" t="n">
        <f aca="false">ABS(H619)</f>
        <v>1</v>
      </c>
      <c r="J619" s="16" t="n">
        <f aca="false">IF(I619=0,1,0)</f>
        <v>0</v>
      </c>
      <c r="K619" s="16" t="n">
        <f aca="false">IF(I619&lt;=1,1,0)</f>
        <v>1</v>
      </c>
      <c r="L619" s="16" t="s">
        <v>76</v>
      </c>
      <c r="M619" s="16" t="s">
        <v>335</v>
      </c>
    </row>
    <row r="620" customFormat="false" ht="15" hidden="false" customHeight="false" outlineLevel="0" collapsed="false">
      <c r="A620" s="16" t="s">
        <v>53</v>
      </c>
      <c r="B620" s="16" t="s">
        <v>52</v>
      </c>
      <c r="C620" s="16" t="s">
        <v>170</v>
      </c>
      <c r="D620" s="16" t="s">
        <v>114</v>
      </c>
      <c r="E620" s="16" t="s">
        <v>191</v>
      </c>
      <c r="F620" s="16" t="n">
        <v>2</v>
      </c>
      <c r="G620" s="16" t="n">
        <v>3</v>
      </c>
      <c r="H620" s="16" t="n">
        <f aca="false">G620-F620</f>
        <v>1</v>
      </c>
      <c r="I620" s="16" t="n">
        <f aca="false">ABS(H620)</f>
        <v>1</v>
      </c>
      <c r="J620" s="16" t="n">
        <f aca="false">IF(I620=0,1,0)</f>
        <v>0</v>
      </c>
      <c r="K620" s="16" t="n">
        <f aca="false">IF(I620&lt;=1,1,0)</f>
        <v>1</v>
      </c>
      <c r="L620" s="16" t="s">
        <v>76</v>
      </c>
      <c r="M620" s="16" t="s">
        <v>335</v>
      </c>
    </row>
    <row r="621" customFormat="false" ht="15" hidden="false" customHeight="false" outlineLevel="0" collapsed="false">
      <c r="A621" s="16" t="s">
        <v>53</v>
      </c>
      <c r="B621" s="16" t="s">
        <v>52</v>
      </c>
      <c r="C621" s="16" t="s">
        <v>170</v>
      </c>
      <c r="D621" s="16" t="s">
        <v>114</v>
      </c>
      <c r="E621" s="16" t="s">
        <v>192</v>
      </c>
      <c r="F621" s="16" t="n">
        <v>2</v>
      </c>
      <c r="G621" s="16" t="n">
        <v>0</v>
      </c>
      <c r="H621" s="16" t="n">
        <f aca="false">G621-F621</f>
        <v>-2</v>
      </c>
      <c r="I621" s="16" t="n">
        <f aca="false">ABS(H621)</f>
        <v>2</v>
      </c>
      <c r="J621" s="16" t="n">
        <f aca="false">IF(I621=0,1,0)</f>
        <v>0</v>
      </c>
      <c r="K621" s="16" t="n">
        <f aca="false">IF(I621&lt;=1,1,0)</f>
        <v>0</v>
      </c>
      <c r="L621" s="16" t="s">
        <v>76</v>
      </c>
      <c r="M621" s="16" t="s">
        <v>335</v>
      </c>
    </row>
    <row r="622" customFormat="false" ht="15" hidden="false" customHeight="false" outlineLevel="0" collapsed="false">
      <c r="A622" s="16" t="s">
        <v>53</v>
      </c>
      <c r="B622" s="16" t="s">
        <v>52</v>
      </c>
      <c r="C622" s="16" t="s">
        <v>170</v>
      </c>
      <c r="D622" s="16" t="s">
        <v>114</v>
      </c>
      <c r="E622" s="16" t="s">
        <v>193</v>
      </c>
      <c r="F622" s="16" t="n">
        <v>2</v>
      </c>
      <c r="G622" s="16" t="n">
        <v>3</v>
      </c>
      <c r="H622" s="16" t="n">
        <f aca="false">G622-F622</f>
        <v>1</v>
      </c>
      <c r="I622" s="16" t="n">
        <f aca="false">ABS(H622)</f>
        <v>1</v>
      </c>
      <c r="J622" s="16" t="n">
        <f aca="false">IF(I622=0,1,0)</f>
        <v>0</v>
      </c>
      <c r="K622" s="16" t="n">
        <f aca="false">IF(I622&lt;=1,1,0)</f>
        <v>1</v>
      </c>
      <c r="L622" s="16" t="s">
        <v>76</v>
      </c>
      <c r="M622" s="16" t="s">
        <v>335</v>
      </c>
    </row>
    <row r="623" customFormat="false" ht="15" hidden="false" customHeight="false" outlineLevel="0" collapsed="false">
      <c r="A623" s="5" t="s">
        <v>53</v>
      </c>
      <c r="B623" s="5" t="s">
        <v>52</v>
      </c>
      <c r="C623" s="5" t="s">
        <v>170</v>
      </c>
      <c r="D623" s="5" t="s">
        <v>114</v>
      </c>
      <c r="E623" s="5" t="s">
        <v>194</v>
      </c>
      <c r="F623" s="5" t="n">
        <v>3</v>
      </c>
      <c r="G623" s="5" t="n">
        <v>3</v>
      </c>
      <c r="H623" s="5" t="n">
        <f aca="false">G623-F623</f>
        <v>0</v>
      </c>
      <c r="I623" s="5" t="n">
        <f aca="false">ABS(H623)</f>
        <v>0</v>
      </c>
      <c r="J623" s="5" t="n">
        <f aca="false">IF(I623=0,1,0)</f>
        <v>1</v>
      </c>
      <c r="K623" s="5" t="n">
        <f aca="false">IF(I623&lt;=1,1,0)</f>
        <v>1</v>
      </c>
      <c r="L623" s="5" t="s">
        <v>71</v>
      </c>
      <c r="M623" s="5" t="s">
        <v>335</v>
      </c>
    </row>
    <row r="624" customFormat="false" ht="15" hidden="false" customHeight="false" outlineLevel="0" collapsed="false">
      <c r="A624" s="5" t="s">
        <v>53</v>
      </c>
      <c r="B624" s="5" t="s">
        <v>52</v>
      </c>
      <c r="C624" s="5" t="s">
        <v>195</v>
      </c>
      <c r="D624" s="5" t="s">
        <v>196</v>
      </c>
      <c r="E624" s="5" t="s">
        <v>197</v>
      </c>
      <c r="F624" s="5" t="n">
        <v>1</v>
      </c>
      <c r="G624" s="5" t="n">
        <v>1</v>
      </c>
      <c r="H624" s="5" t="n">
        <f aca="false">G624-F624</f>
        <v>0</v>
      </c>
      <c r="I624" s="5" t="n">
        <f aca="false">ABS(H624)</f>
        <v>0</v>
      </c>
      <c r="J624" s="5" t="n">
        <f aca="false">IF(I624=0,1,0)</f>
        <v>1</v>
      </c>
      <c r="K624" s="5" t="n">
        <f aca="false">IF(I624&lt;=1,1,0)</f>
        <v>1</v>
      </c>
      <c r="L624" s="5" t="s">
        <v>71</v>
      </c>
      <c r="M624" s="5" t="s">
        <v>336</v>
      </c>
    </row>
    <row r="625" customFormat="false" ht="15" hidden="false" customHeight="false" outlineLevel="0" collapsed="false">
      <c r="A625" s="5" t="s">
        <v>53</v>
      </c>
      <c r="B625" s="5" t="s">
        <v>52</v>
      </c>
      <c r="C625" s="5" t="s">
        <v>195</v>
      </c>
      <c r="D625" s="5" t="s">
        <v>196</v>
      </c>
      <c r="E625" s="5" t="s">
        <v>199</v>
      </c>
      <c r="F625" s="5" t="n">
        <v>1</v>
      </c>
      <c r="G625" s="5" t="n">
        <v>1</v>
      </c>
      <c r="H625" s="5" t="n">
        <f aca="false">G625-F625</f>
        <v>0</v>
      </c>
      <c r="I625" s="5" t="n">
        <f aca="false">ABS(H625)</f>
        <v>0</v>
      </c>
      <c r="J625" s="5" t="n">
        <f aca="false">IF(I625=0,1,0)</f>
        <v>1</v>
      </c>
      <c r="K625" s="5" t="n">
        <f aca="false">IF(I625&lt;=1,1,0)</f>
        <v>1</v>
      </c>
      <c r="L625" s="5" t="s">
        <v>71</v>
      </c>
      <c r="M625" s="5" t="s">
        <v>336</v>
      </c>
    </row>
    <row r="626" customFormat="false" ht="15" hidden="false" customHeight="false" outlineLevel="0" collapsed="false">
      <c r="A626" s="5" t="s">
        <v>53</v>
      </c>
      <c r="B626" s="5" t="s">
        <v>52</v>
      </c>
      <c r="C626" s="5" t="s">
        <v>195</v>
      </c>
      <c r="D626" s="5" t="s">
        <v>196</v>
      </c>
      <c r="E626" s="5" t="s">
        <v>200</v>
      </c>
      <c r="F626" s="5" t="n">
        <v>1</v>
      </c>
      <c r="G626" s="5" t="n">
        <v>1</v>
      </c>
      <c r="H626" s="5" t="n">
        <f aca="false">G626-F626</f>
        <v>0</v>
      </c>
      <c r="I626" s="5" t="n">
        <f aca="false">ABS(H626)</f>
        <v>0</v>
      </c>
      <c r="J626" s="5" t="n">
        <f aca="false">IF(I626=0,1,0)</f>
        <v>1</v>
      </c>
      <c r="K626" s="5" t="n">
        <f aca="false">IF(I626&lt;=1,1,0)</f>
        <v>1</v>
      </c>
      <c r="L626" s="5" t="s">
        <v>71</v>
      </c>
      <c r="M626" s="5" t="s">
        <v>336</v>
      </c>
    </row>
    <row r="627" customFormat="false" ht="15" hidden="false" customHeight="false" outlineLevel="0" collapsed="false">
      <c r="A627" s="5" t="s">
        <v>53</v>
      </c>
      <c r="B627" s="5" t="s">
        <v>52</v>
      </c>
      <c r="C627" s="5" t="s">
        <v>195</v>
      </c>
      <c r="D627" s="5" t="s">
        <v>196</v>
      </c>
      <c r="E627" s="5" t="s">
        <v>256</v>
      </c>
      <c r="F627" s="5" t="n">
        <v>0</v>
      </c>
      <c r="G627" s="5" t="n">
        <v>0</v>
      </c>
      <c r="H627" s="5" t="n">
        <f aca="false">G627-F627</f>
        <v>0</v>
      </c>
      <c r="I627" s="5" t="n">
        <f aca="false">ABS(H627)</f>
        <v>0</v>
      </c>
      <c r="J627" s="5" t="n">
        <f aca="false">IF(I627=0,1,0)</f>
        <v>1</v>
      </c>
      <c r="K627" s="5" t="n">
        <f aca="false">IF(I627&lt;=1,1,0)</f>
        <v>1</v>
      </c>
      <c r="L627" s="5" t="s">
        <v>71</v>
      </c>
      <c r="M627" s="5" t="s">
        <v>336</v>
      </c>
    </row>
    <row r="628" customFormat="false" ht="15" hidden="false" customHeight="false" outlineLevel="0" collapsed="false">
      <c r="A628" s="5" t="s">
        <v>53</v>
      </c>
      <c r="B628" s="5" t="s">
        <v>52</v>
      </c>
      <c r="C628" s="5" t="s">
        <v>195</v>
      </c>
      <c r="D628" s="5" t="s">
        <v>202</v>
      </c>
      <c r="E628" s="5" t="s">
        <v>203</v>
      </c>
      <c r="F628" s="5" t="n">
        <v>3</v>
      </c>
      <c r="G628" s="5" t="n">
        <v>3</v>
      </c>
      <c r="H628" s="5" t="n">
        <f aca="false">G628-F628</f>
        <v>0</v>
      </c>
      <c r="I628" s="5" t="n">
        <f aca="false">ABS(H628)</f>
        <v>0</v>
      </c>
      <c r="J628" s="5" t="n">
        <f aca="false">IF(I628=0,1,0)</f>
        <v>1</v>
      </c>
      <c r="K628" s="5" t="n">
        <f aca="false">IF(I628&lt;=1,1,0)</f>
        <v>1</v>
      </c>
      <c r="L628" s="5" t="s">
        <v>71</v>
      </c>
      <c r="M628" s="5" t="s">
        <v>337</v>
      </c>
    </row>
    <row r="629" customFormat="false" ht="15" hidden="false" customHeight="false" outlineLevel="0" collapsed="false">
      <c r="A629" s="16" t="s">
        <v>53</v>
      </c>
      <c r="B629" s="16" t="s">
        <v>52</v>
      </c>
      <c r="C629" s="16" t="s">
        <v>195</v>
      </c>
      <c r="D629" s="16" t="s">
        <v>202</v>
      </c>
      <c r="E629" s="16" t="s">
        <v>205</v>
      </c>
      <c r="F629" s="16" t="n">
        <v>2</v>
      </c>
      <c r="G629" s="16" t="n">
        <v>3</v>
      </c>
      <c r="H629" s="16" t="n">
        <f aca="false">G629-F629</f>
        <v>1</v>
      </c>
      <c r="I629" s="16" t="n">
        <f aca="false">ABS(H629)</f>
        <v>1</v>
      </c>
      <c r="J629" s="16" t="n">
        <f aca="false">IF(I629=0,1,0)</f>
        <v>0</v>
      </c>
      <c r="K629" s="16" t="n">
        <f aca="false">IF(I629&lt;=1,1,0)</f>
        <v>1</v>
      </c>
      <c r="L629" s="16" t="s">
        <v>76</v>
      </c>
      <c r="M629" s="16" t="s">
        <v>337</v>
      </c>
    </row>
    <row r="630" customFormat="false" ht="15" hidden="false" customHeight="false" outlineLevel="0" collapsed="false">
      <c r="A630" s="5" t="s">
        <v>53</v>
      </c>
      <c r="B630" s="5" t="s">
        <v>52</v>
      </c>
      <c r="C630" s="5" t="s">
        <v>195</v>
      </c>
      <c r="D630" s="5" t="s">
        <v>202</v>
      </c>
      <c r="E630" s="5" t="s">
        <v>206</v>
      </c>
      <c r="F630" s="5" t="n">
        <v>1</v>
      </c>
      <c r="G630" s="5" t="n">
        <v>1</v>
      </c>
      <c r="H630" s="5" t="n">
        <f aca="false">G630-F630</f>
        <v>0</v>
      </c>
      <c r="I630" s="5" t="n">
        <f aca="false">ABS(H630)</f>
        <v>0</v>
      </c>
      <c r="J630" s="5" t="n">
        <f aca="false">IF(I630=0,1,0)</f>
        <v>1</v>
      </c>
      <c r="K630" s="5" t="n">
        <f aca="false">IF(I630&lt;=1,1,0)</f>
        <v>1</v>
      </c>
      <c r="L630" s="5" t="s">
        <v>71</v>
      </c>
      <c r="M630" s="5" t="s">
        <v>337</v>
      </c>
    </row>
    <row r="631" customFormat="false" ht="15" hidden="false" customHeight="false" outlineLevel="0" collapsed="false">
      <c r="A631" s="16" t="s">
        <v>53</v>
      </c>
      <c r="B631" s="16" t="s">
        <v>52</v>
      </c>
      <c r="C631" s="16" t="s">
        <v>195</v>
      </c>
      <c r="D631" s="16" t="s">
        <v>202</v>
      </c>
      <c r="E631" s="16" t="s">
        <v>207</v>
      </c>
      <c r="F631" s="16" t="n">
        <v>0</v>
      </c>
      <c r="G631" s="16" t="n">
        <v>2</v>
      </c>
      <c r="H631" s="16" t="n">
        <f aca="false">G631-F631</f>
        <v>2</v>
      </c>
      <c r="I631" s="16" t="n">
        <f aca="false">ABS(H631)</f>
        <v>2</v>
      </c>
      <c r="J631" s="16" t="n">
        <f aca="false">IF(I631=0,1,0)</f>
        <v>0</v>
      </c>
      <c r="K631" s="16" t="n">
        <f aca="false">IF(I631&lt;=1,1,0)</f>
        <v>0</v>
      </c>
      <c r="L631" s="16" t="s">
        <v>76</v>
      </c>
      <c r="M631" s="16" t="s">
        <v>337</v>
      </c>
    </row>
    <row r="632" customFormat="false" ht="15" hidden="false" customHeight="false" outlineLevel="0" collapsed="false">
      <c r="A632" s="5" t="s">
        <v>53</v>
      </c>
      <c r="B632" s="5" t="s">
        <v>52</v>
      </c>
      <c r="C632" s="5" t="s">
        <v>195</v>
      </c>
      <c r="D632" s="5" t="s">
        <v>202</v>
      </c>
      <c r="E632" s="5" t="s">
        <v>208</v>
      </c>
      <c r="F632" s="5" t="n">
        <v>3</v>
      </c>
      <c r="G632" s="5" t="n">
        <v>3</v>
      </c>
      <c r="H632" s="5" t="n">
        <f aca="false">G632-F632</f>
        <v>0</v>
      </c>
      <c r="I632" s="5" t="n">
        <f aca="false">ABS(H632)</f>
        <v>0</v>
      </c>
      <c r="J632" s="5" t="n">
        <f aca="false">IF(I632=0,1,0)</f>
        <v>1</v>
      </c>
      <c r="K632" s="5" t="n">
        <f aca="false">IF(I632&lt;=1,1,0)</f>
        <v>1</v>
      </c>
      <c r="L632" s="5" t="s">
        <v>71</v>
      </c>
      <c r="M632" s="5" t="s">
        <v>337</v>
      </c>
    </row>
    <row r="633" customFormat="false" ht="15" hidden="false" customHeight="false" outlineLevel="0" collapsed="false">
      <c r="A633" s="16" t="s">
        <v>53</v>
      </c>
      <c r="B633" s="16" t="s">
        <v>52</v>
      </c>
      <c r="C633" s="16" t="s">
        <v>195</v>
      </c>
      <c r="D633" s="16" t="s">
        <v>202</v>
      </c>
      <c r="E633" s="16" t="s">
        <v>209</v>
      </c>
      <c r="F633" s="16" t="n">
        <v>1</v>
      </c>
      <c r="G633" s="16" t="n">
        <v>3</v>
      </c>
      <c r="H633" s="16" t="n">
        <f aca="false">G633-F633</f>
        <v>2</v>
      </c>
      <c r="I633" s="16" t="n">
        <f aca="false">ABS(H633)</f>
        <v>2</v>
      </c>
      <c r="J633" s="16" t="n">
        <f aca="false">IF(I633=0,1,0)</f>
        <v>0</v>
      </c>
      <c r="K633" s="16" t="n">
        <f aca="false">IF(I633&lt;=1,1,0)</f>
        <v>0</v>
      </c>
      <c r="L633" s="16" t="s">
        <v>76</v>
      </c>
      <c r="M633" s="16" t="s">
        <v>337</v>
      </c>
    </row>
    <row r="634" customFormat="false" ht="15" hidden="false" customHeight="false" outlineLevel="0" collapsed="false">
      <c r="A634" s="5" t="s">
        <v>53</v>
      </c>
      <c r="B634" s="5" t="s">
        <v>52</v>
      </c>
      <c r="C634" s="5" t="s">
        <v>195</v>
      </c>
      <c r="D634" s="5" t="s">
        <v>202</v>
      </c>
      <c r="E634" s="5" t="s">
        <v>210</v>
      </c>
      <c r="F634" s="5" t="n">
        <v>3</v>
      </c>
      <c r="G634" s="5" t="n">
        <v>3</v>
      </c>
      <c r="H634" s="5" t="n">
        <f aca="false">G634-F634</f>
        <v>0</v>
      </c>
      <c r="I634" s="5" t="n">
        <f aca="false">ABS(H634)</f>
        <v>0</v>
      </c>
      <c r="J634" s="5" t="n">
        <f aca="false">IF(I634=0,1,0)</f>
        <v>1</v>
      </c>
      <c r="K634" s="5" t="n">
        <f aca="false">IF(I634&lt;=1,1,0)</f>
        <v>1</v>
      </c>
      <c r="L634" s="5" t="s">
        <v>71</v>
      </c>
      <c r="M634" s="5" t="s">
        <v>337</v>
      </c>
    </row>
    <row r="635" customFormat="false" ht="15" hidden="false" customHeight="false" outlineLevel="0" collapsed="false">
      <c r="A635" s="5" t="s">
        <v>53</v>
      </c>
      <c r="B635" s="5" t="s">
        <v>52</v>
      </c>
      <c r="C635" s="5" t="s">
        <v>195</v>
      </c>
      <c r="D635" s="5" t="s">
        <v>202</v>
      </c>
      <c r="E635" s="5" t="s">
        <v>211</v>
      </c>
      <c r="F635" s="5" t="n">
        <v>3</v>
      </c>
      <c r="G635" s="5" t="n">
        <v>3</v>
      </c>
      <c r="H635" s="5" t="n">
        <f aca="false">G635-F635</f>
        <v>0</v>
      </c>
      <c r="I635" s="5" t="n">
        <f aca="false">ABS(H635)</f>
        <v>0</v>
      </c>
      <c r="J635" s="5" t="n">
        <f aca="false">IF(I635=0,1,0)</f>
        <v>1</v>
      </c>
      <c r="K635" s="5" t="n">
        <f aca="false">IF(I635&lt;=1,1,0)</f>
        <v>1</v>
      </c>
      <c r="L635" s="5" t="s">
        <v>71</v>
      </c>
      <c r="M635" s="5" t="s">
        <v>337</v>
      </c>
    </row>
    <row r="636" customFormat="false" ht="15" hidden="false" customHeight="false" outlineLevel="0" collapsed="false">
      <c r="A636" s="5" t="s">
        <v>53</v>
      </c>
      <c r="B636" s="5" t="s">
        <v>52</v>
      </c>
      <c r="C636" s="5" t="s">
        <v>195</v>
      </c>
      <c r="D636" s="5" t="s">
        <v>202</v>
      </c>
      <c r="E636" s="5" t="s">
        <v>212</v>
      </c>
      <c r="F636" s="5" t="n">
        <v>3</v>
      </c>
      <c r="G636" s="5" t="n">
        <v>3</v>
      </c>
      <c r="H636" s="5" t="n">
        <f aca="false">G636-F636</f>
        <v>0</v>
      </c>
      <c r="I636" s="5" t="n">
        <f aca="false">ABS(H636)</f>
        <v>0</v>
      </c>
      <c r="J636" s="5" t="n">
        <f aca="false">IF(I636=0,1,0)</f>
        <v>1</v>
      </c>
      <c r="K636" s="5" t="n">
        <f aca="false">IF(I636&lt;=1,1,0)</f>
        <v>1</v>
      </c>
      <c r="L636" s="5" t="s">
        <v>71</v>
      </c>
      <c r="M636" s="5" t="s">
        <v>337</v>
      </c>
    </row>
    <row r="637" customFormat="false" ht="15" hidden="false" customHeight="false" outlineLevel="0" collapsed="false">
      <c r="A637" s="5" t="s">
        <v>53</v>
      </c>
      <c r="B637" s="5" t="s">
        <v>52</v>
      </c>
      <c r="C637" s="5" t="s">
        <v>195</v>
      </c>
      <c r="D637" s="5" t="s">
        <v>202</v>
      </c>
      <c r="E637" s="5" t="s">
        <v>213</v>
      </c>
      <c r="F637" s="5" t="n">
        <v>0</v>
      </c>
      <c r="G637" s="5" t="n">
        <v>0</v>
      </c>
      <c r="H637" s="5" t="n">
        <f aca="false">G637-F637</f>
        <v>0</v>
      </c>
      <c r="I637" s="5" t="n">
        <f aca="false">ABS(H637)</f>
        <v>0</v>
      </c>
      <c r="J637" s="5" t="n">
        <f aca="false">IF(I637=0,1,0)</f>
        <v>1</v>
      </c>
      <c r="K637" s="5" t="n">
        <f aca="false">IF(I637&lt;=1,1,0)</f>
        <v>1</v>
      </c>
      <c r="L637" s="5" t="s">
        <v>71</v>
      </c>
      <c r="M637" s="5" t="s">
        <v>337</v>
      </c>
    </row>
    <row r="638" customFormat="false" ht="15" hidden="false" customHeight="false" outlineLevel="0" collapsed="false">
      <c r="A638" s="5" t="s">
        <v>53</v>
      </c>
      <c r="B638" s="5" t="s">
        <v>52</v>
      </c>
      <c r="C638" s="5" t="s">
        <v>195</v>
      </c>
      <c r="D638" s="5" t="s">
        <v>202</v>
      </c>
      <c r="E638" s="5" t="s">
        <v>214</v>
      </c>
      <c r="F638" s="5" t="n">
        <v>3</v>
      </c>
      <c r="G638" s="5" t="n">
        <v>3</v>
      </c>
      <c r="H638" s="5" t="n">
        <f aca="false">G638-F638</f>
        <v>0</v>
      </c>
      <c r="I638" s="5" t="n">
        <f aca="false">ABS(H638)</f>
        <v>0</v>
      </c>
      <c r="J638" s="5" t="n">
        <f aca="false">IF(I638=0,1,0)</f>
        <v>1</v>
      </c>
      <c r="K638" s="5" t="n">
        <f aca="false">IF(I638&lt;=1,1,0)</f>
        <v>1</v>
      </c>
      <c r="L638" s="5" t="s">
        <v>71</v>
      </c>
      <c r="M638" s="5" t="s">
        <v>337</v>
      </c>
    </row>
    <row r="639" customFormat="false" ht="15" hidden="false" customHeight="false" outlineLevel="0" collapsed="false">
      <c r="A639" s="5" t="s">
        <v>53</v>
      </c>
      <c r="B639" s="5" t="s">
        <v>52</v>
      </c>
      <c r="C639" s="5" t="s">
        <v>195</v>
      </c>
      <c r="D639" s="5" t="s">
        <v>202</v>
      </c>
      <c r="E639" s="5" t="s">
        <v>215</v>
      </c>
      <c r="F639" s="5" t="n">
        <v>3</v>
      </c>
      <c r="G639" s="5" t="n">
        <v>3</v>
      </c>
      <c r="H639" s="5" t="n">
        <f aca="false">G639-F639</f>
        <v>0</v>
      </c>
      <c r="I639" s="5" t="n">
        <f aca="false">ABS(H639)</f>
        <v>0</v>
      </c>
      <c r="J639" s="5" t="n">
        <f aca="false">IF(I639=0,1,0)</f>
        <v>1</v>
      </c>
      <c r="K639" s="5" t="n">
        <f aca="false">IF(I639&lt;=1,1,0)</f>
        <v>1</v>
      </c>
      <c r="L639" s="5" t="s">
        <v>71</v>
      </c>
      <c r="M639" s="5" t="s">
        <v>337</v>
      </c>
    </row>
    <row r="640" customFormat="false" ht="15" hidden="false" customHeight="false" outlineLevel="0" collapsed="false">
      <c r="A640" s="5" t="s">
        <v>53</v>
      </c>
      <c r="B640" s="5" t="s">
        <v>52</v>
      </c>
      <c r="C640" s="5" t="s">
        <v>195</v>
      </c>
      <c r="D640" s="5" t="s">
        <v>202</v>
      </c>
      <c r="E640" s="5" t="s">
        <v>216</v>
      </c>
      <c r="F640" s="5" t="n">
        <v>0</v>
      </c>
      <c r="G640" s="5" t="n">
        <v>0</v>
      </c>
      <c r="H640" s="5" t="n">
        <f aca="false">G640-F640</f>
        <v>0</v>
      </c>
      <c r="I640" s="5" t="n">
        <f aca="false">ABS(H640)</f>
        <v>0</v>
      </c>
      <c r="J640" s="5" t="n">
        <f aca="false">IF(I640=0,1,0)</f>
        <v>1</v>
      </c>
      <c r="K640" s="5" t="n">
        <f aca="false">IF(I640&lt;=1,1,0)</f>
        <v>1</v>
      </c>
      <c r="L640" s="5" t="s">
        <v>71</v>
      </c>
      <c r="M640" s="5" t="s">
        <v>337</v>
      </c>
    </row>
    <row r="641" customFormat="false" ht="15" hidden="false" customHeight="false" outlineLevel="0" collapsed="false">
      <c r="A641" s="5" t="s">
        <v>53</v>
      </c>
      <c r="B641" s="5" t="s">
        <v>52</v>
      </c>
      <c r="C641" s="5" t="s">
        <v>195</v>
      </c>
      <c r="D641" s="5" t="s">
        <v>202</v>
      </c>
      <c r="E641" s="5" t="s">
        <v>217</v>
      </c>
      <c r="F641" s="5" t="n">
        <v>3</v>
      </c>
      <c r="G641" s="5" t="n">
        <v>3</v>
      </c>
      <c r="H641" s="5" t="n">
        <f aca="false">G641-F641</f>
        <v>0</v>
      </c>
      <c r="I641" s="5" t="n">
        <f aca="false">ABS(H641)</f>
        <v>0</v>
      </c>
      <c r="J641" s="5" t="n">
        <f aca="false">IF(I641=0,1,0)</f>
        <v>1</v>
      </c>
      <c r="K641" s="5" t="n">
        <f aca="false">IF(I641&lt;=1,1,0)</f>
        <v>1</v>
      </c>
      <c r="L641" s="5" t="s">
        <v>71</v>
      </c>
      <c r="M641" s="5" t="s">
        <v>337</v>
      </c>
    </row>
    <row r="642" customFormat="false" ht="15" hidden="false" customHeight="false" outlineLevel="0" collapsed="false">
      <c r="A642" s="5" t="s">
        <v>53</v>
      </c>
      <c r="B642" s="5" t="s">
        <v>52</v>
      </c>
      <c r="C642" s="5" t="s">
        <v>195</v>
      </c>
      <c r="D642" s="5" t="s">
        <v>202</v>
      </c>
      <c r="E642" s="5" t="s">
        <v>218</v>
      </c>
      <c r="F642" s="5" t="n">
        <v>0</v>
      </c>
      <c r="G642" s="5" t="n">
        <v>0</v>
      </c>
      <c r="H642" s="5" t="n">
        <f aca="false">G642-F642</f>
        <v>0</v>
      </c>
      <c r="I642" s="5" t="n">
        <f aca="false">ABS(H642)</f>
        <v>0</v>
      </c>
      <c r="J642" s="5" t="n">
        <f aca="false">IF(I642=0,1,0)</f>
        <v>1</v>
      </c>
      <c r="K642" s="5" t="n">
        <f aca="false">IF(I642&lt;=1,1,0)</f>
        <v>1</v>
      </c>
      <c r="L642" s="5" t="s">
        <v>71</v>
      </c>
      <c r="M642" s="5" t="s">
        <v>337</v>
      </c>
    </row>
    <row r="643" customFormat="false" ht="15" hidden="false" customHeight="false" outlineLevel="0" collapsed="false">
      <c r="A643" s="16" t="s">
        <v>53</v>
      </c>
      <c r="B643" s="16" t="s">
        <v>52</v>
      </c>
      <c r="C643" s="16" t="s">
        <v>195</v>
      </c>
      <c r="D643" s="16" t="s">
        <v>202</v>
      </c>
      <c r="E643" s="16" t="s">
        <v>219</v>
      </c>
      <c r="F643" s="16" t="n">
        <v>0</v>
      </c>
      <c r="G643" s="16" t="n">
        <v>2</v>
      </c>
      <c r="H643" s="16" t="n">
        <f aca="false">G643-F643</f>
        <v>2</v>
      </c>
      <c r="I643" s="16" t="n">
        <f aca="false">ABS(H643)</f>
        <v>2</v>
      </c>
      <c r="J643" s="16" t="n">
        <f aca="false">IF(I643=0,1,0)</f>
        <v>0</v>
      </c>
      <c r="K643" s="16" t="n">
        <f aca="false">IF(I643&lt;=1,1,0)</f>
        <v>0</v>
      </c>
      <c r="L643" s="16" t="s">
        <v>76</v>
      </c>
      <c r="M643" s="16" t="s">
        <v>337</v>
      </c>
    </row>
    <row r="644" customFormat="false" ht="15" hidden="false" customHeight="false" outlineLevel="0" collapsed="false">
      <c r="A644" s="16" t="s">
        <v>53</v>
      </c>
      <c r="B644" s="16" t="s">
        <v>52</v>
      </c>
      <c r="C644" s="16" t="s">
        <v>195</v>
      </c>
      <c r="D644" s="16" t="s">
        <v>202</v>
      </c>
      <c r="E644" s="16" t="s">
        <v>220</v>
      </c>
      <c r="F644" s="16" t="n">
        <v>1</v>
      </c>
      <c r="G644" s="16" t="n">
        <v>0</v>
      </c>
      <c r="H644" s="16" t="n">
        <f aca="false">G644-F644</f>
        <v>-1</v>
      </c>
      <c r="I644" s="16" t="n">
        <f aca="false">ABS(H644)</f>
        <v>1</v>
      </c>
      <c r="J644" s="16" t="n">
        <f aca="false">IF(I644=0,1,0)</f>
        <v>0</v>
      </c>
      <c r="K644" s="16" t="n">
        <f aca="false">IF(I644&lt;=1,1,0)</f>
        <v>1</v>
      </c>
      <c r="L644" s="16" t="s">
        <v>76</v>
      </c>
      <c r="M644" s="16" t="s">
        <v>337</v>
      </c>
    </row>
    <row r="645" customFormat="false" ht="15" hidden="false" customHeight="false" outlineLevel="0" collapsed="false">
      <c r="A645" s="16" t="s">
        <v>53</v>
      </c>
      <c r="B645" s="16" t="s">
        <v>52</v>
      </c>
      <c r="C645" s="16" t="s">
        <v>195</v>
      </c>
      <c r="D645" s="16" t="s">
        <v>202</v>
      </c>
      <c r="E645" s="16" t="s">
        <v>221</v>
      </c>
      <c r="F645" s="16" t="n">
        <v>3</v>
      </c>
      <c r="G645" s="16" t="n">
        <v>0</v>
      </c>
      <c r="H645" s="16" t="n">
        <f aca="false">G645-F645</f>
        <v>-3</v>
      </c>
      <c r="I645" s="16" t="n">
        <f aca="false">ABS(H645)</f>
        <v>3</v>
      </c>
      <c r="J645" s="16" t="n">
        <f aca="false">IF(I645=0,1,0)</f>
        <v>0</v>
      </c>
      <c r="K645" s="16" t="n">
        <f aca="false">IF(I645&lt;=1,1,0)</f>
        <v>0</v>
      </c>
      <c r="L645" s="16" t="s">
        <v>76</v>
      </c>
      <c r="M645" s="16" t="s">
        <v>337</v>
      </c>
    </row>
    <row r="646" customFormat="false" ht="15" hidden="false" customHeight="false" outlineLevel="0" collapsed="false">
      <c r="A646" s="5" t="s">
        <v>53</v>
      </c>
      <c r="B646" s="5" t="s">
        <v>52</v>
      </c>
      <c r="C646" s="5" t="s">
        <v>195</v>
      </c>
      <c r="D646" s="5" t="s">
        <v>202</v>
      </c>
      <c r="E646" s="5" t="s">
        <v>222</v>
      </c>
      <c r="F646" s="5" t="n">
        <v>3</v>
      </c>
      <c r="G646" s="5" t="n">
        <v>3</v>
      </c>
      <c r="H646" s="5" t="n">
        <f aca="false">G646-F646</f>
        <v>0</v>
      </c>
      <c r="I646" s="5" t="n">
        <f aca="false">ABS(H646)</f>
        <v>0</v>
      </c>
      <c r="J646" s="5" t="n">
        <f aca="false">IF(I646=0,1,0)</f>
        <v>1</v>
      </c>
      <c r="K646" s="5" t="n">
        <f aca="false">IF(I646&lt;=1,1,0)</f>
        <v>1</v>
      </c>
      <c r="L646" s="5" t="s">
        <v>71</v>
      </c>
      <c r="M646" s="5" t="s">
        <v>337</v>
      </c>
    </row>
    <row r="647" customFormat="false" ht="15" hidden="false" customHeight="false" outlineLevel="0" collapsed="false">
      <c r="A647" s="5" t="s">
        <v>53</v>
      </c>
      <c r="B647" s="5" t="s">
        <v>52</v>
      </c>
      <c r="C647" s="5" t="s">
        <v>195</v>
      </c>
      <c r="D647" s="5" t="s">
        <v>202</v>
      </c>
      <c r="E647" s="5" t="s">
        <v>223</v>
      </c>
      <c r="F647" s="5" t="n">
        <v>3</v>
      </c>
      <c r="G647" s="5" t="n">
        <v>3</v>
      </c>
      <c r="H647" s="5" t="n">
        <f aca="false">G647-F647</f>
        <v>0</v>
      </c>
      <c r="I647" s="5" t="n">
        <f aca="false">ABS(H647)</f>
        <v>0</v>
      </c>
      <c r="J647" s="5" t="n">
        <f aca="false">IF(I647=0,1,0)</f>
        <v>1</v>
      </c>
      <c r="K647" s="5" t="n">
        <f aca="false">IF(I647&lt;=1,1,0)</f>
        <v>1</v>
      </c>
      <c r="L647" s="5" t="s">
        <v>71</v>
      </c>
      <c r="M647" s="5" t="s">
        <v>337</v>
      </c>
    </row>
    <row r="648" customFormat="false" ht="15" hidden="false" customHeight="false" outlineLevel="0" collapsed="false">
      <c r="A648" s="5" t="s">
        <v>54</v>
      </c>
      <c r="B648" s="5" t="s">
        <v>55</v>
      </c>
      <c r="C648" s="5" t="s">
        <v>68</v>
      </c>
      <c r="D648" s="5" t="s">
        <v>69</v>
      </c>
      <c r="E648" s="5" t="s">
        <v>70</v>
      </c>
      <c r="F648" s="5" t="n">
        <v>3</v>
      </c>
      <c r="G648" s="5" t="n">
        <v>3</v>
      </c>
      <c r="H648" s="5" t="n">
        <f aca="false">G648-F648</f>
        <v>0</v>
      </c>
      <c r="I648" s="5" t="n">
        <f aca="false">ABS(H648)</f>
        <v>0</v>
      </c>
      <c r="J648" s="5" t="n">
        <f aca="false">IF(I648=0,1,0)</f>
        <v>1</v>
      </c>
      <c r="K648" s="5" t="n">
        <f aca="false">IF(I648&lt;=1,1,0)</f>
        <v>1</v>
      </c>
      <c r="L648" s="5" t="s">
        <v>71</v>
      </c>
      <c r="M648" s="5" t="s">
        <v>338</v>
      </c>
    </row>
    <row r="649" customFormat="false" ht="15" hidden="false" customHeight="false" outlineLevel="0" collapsed="false">
      <c r="A649" s="5" t="s">
        <v>54</v>
      </c>
      <c r="B649" s="5" t="s">
        <v>55</v>
      </c>
      <c r="C649" s="5" t="s">
        <v>68</v>
      </c>
      <c r="D649" s="5" t="s">
        <v>69</v>
      </c>
      <c r="E649" s="5" t="s">
        <v>73</v>
      </c>
      <c r="F649" s="5" t="n">
        <v>3</v>
      </c>
      <c r="G649" s="5" t="n">
        <v>3</v>
      </c>
      <c r="H649" s="5" t="n">
        <f aca="false">G649-F649</f>
        <v>0</v>
      </c>
      <c r="I649" s="5" t="n">
        <f aca="false">ABS(H649)</f>
        <v>0</v>
      </c>
      <c r="J649" s="5" t="n">
        <f aca="false">IF(I649=0,1,0)</f>
        <v>1</v>
      </c>
      <c r="K649" s="5" t="n">
        <f aca="false">IF(I649&lt;=1,1,0)</f>
        <v>1</v>
      </c>
      <c r="L649" s="5" t="s">
        <v>71</v>
      </c>
      <c r="M649" s="5" t="s">
        <v>338</v>
      </c>
    </row>
    <row r="650" customFormat="false" ht="15" hidden="false" customHeight="false" outlineLevel="0" collapsed="false">
      <c r="A650" s="5" t="s">
        <v>54</v>
      </c>
      <c r="B650" s="5" t="s">
        <v>55</v>
      </c>
      <c r="C650" s="5" t="s">
        <v>68</v>
      </c>
      <c r="D650" s="5" t="s">
        <v>74</v>
      </c>
      <c r="E650" s="5" t="s">
        <v>75</v>
      </c>
      <c r="F650" s="5" t="n">
        <v>3</v>
      </c>
      <c r="G650" s="5" t="n">
        <v>3</v>
      </c>
      <c r="H650" s="5" t="n">
        <f aca="false">G650-F650</f>
        <v>0</v>
      </c>
      <c r="I650" s="5" t="n">
        <f aca="false">ABS(H650)</f>
        <v>0</v>
      </c>
      <c r="J650" s="5" t="n">
        <f aca="false">IF(I650=0,1,0)</f>
        <v>1</v>
      </c>
      <c r="K650" s="5" t="n">
        <f aca="false">IF(I650&lt;=1,1,0)</f>
        <v>1</v>
      </c>
      <c r="L650" s="5" t="s">
        <v>71</v>
      </c>
      <c r="M650" s="5" t="s">
        <v>339</v>
      </c>
    </row>
    <row r="651" customFormat="false" ht="15" hidden="false" customHeight="false" outlineLevel="0" collapsed="false">
      <c r="A651" s="5" t="s">
        <v>54</v>
      </c>
      <c r="B651" s="5" t="s">
        <v>55</v>
      </c>
      <c r="C651" s="5" t="s">
        <v>68</v>
      </c>
      <c r="D651" s="5" t="s">
        <v>74</v>
      </c>
      <c r="E651" s="5" t="s">
        <v>78</v>
      </c>
      <c r="F651" s="5" t="n">
        <v>3</v>
      </c>
      <c r="G651" s="5" t="n">
        <v>3</v>
      </c>
      <c r="H651" s="5" t="n">
        <f aca="false">G651-F651</f>
        <v>0</v>
      </c>
      <c r="I651" s="5" t="n">
        <f aca="false">ABS(H651)</f>
        <v>0</v>
      </c>
      <c r="J651" s="5" t="n">
        <f aca="false">IF(I651=0,1,0)</f>
        <v>1</v>
      </c>
      <c r="K651" s="5" t="n">
        <f aca="false">IF(I651&lt;=1,1,0)</f>
        <v>1</v>
      </c>
      <c r="L651" s="5" t="s">
        <v>71</v>
      </c>
      <c r="M651" s="5" t="s">
        <v>339</v>
      </c>
    </row>
    <row r="652" customFormat="false" ht="15" hidden="false" customHeight="false" outlineLevel="0" collapsed="false">
      <c r="A652" s="5" t="s">
        <v>54</v>
      </c>
      <c r="B652" s="5" t="s">
        <v>55</v>
      </c>
      <c r="C652" s="5" t="s">
        <v>68</v>
      </c>
      <c r="D652" s="5" t="s">
        <v>74</v>
      </c>
      <c r="E652" s="5" t="s">
        <v>79</v>
      </c>
      <c r="F652" s="5" t="n">
        <v>3</v>
      </c>
      <c r="G652" s="5" t="n">
        <v>3</v>
      </c>
      <c r="H652" s="5" t="n">
        <f aca="false">G652-F652</f>
        <v>0</v>
      </c>
      <c r="I652" s="5" t="n">
        <f aca="false">ABS(H652)</f>
        <v>0</v>
      </c>
      <c r="J652" s="5" t="n">
        <f aca="false">IF(I652=0,1,0)</f>
        <v>1</v>
      </c>
      <c r="K652" s="5" t="n">
        <f aca="false">IF(I652&lt;=1,1,0)</f>
        <v>1</v>
      </c>
      <c r="L652" s="5" t="s">
        <v>71</v>
      </c>
      <c r="M652" s="5" t="s">
        <v>339</v>
      </c>
    </row>
    <row r="653" customFormat="false" ht="15" hidden="false" customHeight="false" outlineLevel="0" collapsed="false">
      <c r="A653" s="5" t="s">
        <v>54</v>
      </c>
      <c r="B653" s="5" t="s">
        <v>55</v>
      </c>
      <c r="C653" s="5" t="s">
        <v>68</v>
      </c>
      <c r="D653" s="5" t="s">
        <v>74</v>
      </c>
      <c r="E653" s="5" t="s">
        <v>80</v>
      </c>
      <c r="F653" s="5" t="n">
        <v>3</v>
      </c>
      <c r="G653" s="5" t="n">
        <v>3</v>
      </c>
      <c r="H653" s="5" t="n">
        <f aca="false">G653-F653</f>
        <v>0</v>
      </c>
      <c r="I653" s="5" t="n">
        <f aca="false">ABS(H653)</f>
        <v>0</v>
      </c>
      <c r="J653" s="5" t="n">
        <f aca="false">IF(I653=0,1,0)</f>
        <v>1</v>
      </c>
      <c r="K653" s="5" t="n">
        <f aca="false">IF(I653&lt;=1,1,0)</f>
        <v>1</v>
      </c>
      <c r="L653" s="5" t="s">
        <v>71</v>
      </c>
      <c r="M653" s="5" t="s">
        <v>339</v>
      </c>
    </row>
    <row r="654" customFormat="false" ht="15" hidden="false" customHeight="false" outlineLevel="0" collapsed="false">
      <c r="A654" s="5" t="s">
        <v>54</v>
      </c>
      <c r="B654" s="5" t="s">
        <v>55</v>
      </c>
      <c r="C654" s="5" t="s">
        <v>68</v>
      </c>
      <c r="D654" s="5" t="s">
        <v>74</v>
      </c>
      <c r="E654" s="5" t="s">
        <v>81</v>
      </c>
      <c r="F654" s="5" t="n">
        <v>3</v>
      </c>
      <c r="G654" s="5" t="n">
        <v>3</v>
      </c>
      <c r="H654" s="5" t="n">
        <f aca="false">G654-F654</f>
        <v>0</v>
      </c>
      <c r="I654" s="5" t="n">
        <f aca="false">ABS(H654)</f>
        <v>0</v>
      </c>
      <c r="J654" s="5" t="n">
        <f aca="false">IF(I654=0,1,0)</f>
        <v>1</v>
      </c>
      <c r="K654" s="5" t="n">
        <f aca="false">IF(I654&lt;=1,1,0)</f>
        <v>1</v>
      </c>
      <c r="L654" s="5" t="s">
        <v>71</v>
      </c>
      <c r="M654" s="5" t="s">
        <v>339</v>
      </c>
    </row>
    <row r="655" customFormat="false" ht="15" hidden="false" customHeight="false" outlineLevel="0" collapsed="false">
      <c r="A655" s="16" t="s">
        <v>54</v>
      </c>
      <c r="B655" s="16" t="s">
        <v>55</v>
      </c>
      <c r="C655" s="16" t="s">
        <v>68</v>
      </c>
      <c r="D655" s="16" t="s">
        <v>82</v>
      </c>
      <c r="E655" s="16" t="s">
        <v>75</v>
      </c>
      <c r="F655" s="16" t="n">
        <v>3</v>
      </c>
      <c r="G655" s="16" t="n">
        <v>2</v>
      </c>
      <c r="H655" s="16" t="n">
        <f aca="false">G655-F655</f>
        <v>-1</v>
      </c>
      <c r="I655" s="16" t="n">
        <f aca="false">ABS(H655)</f>
        <v>1</v>
      </c>
      <c r="J655" s="16" t="n">
        <f aca="false">IF(I655=0,1,0)</f>
        <v>0</v>
      </c>
      <c r="K655" s="16" t="n">
        <f aca="false">IF(I655&lt;=1,1,0)</f>
        <v>1</v>
      </c>
      <c r="L655" s="16" t="s">
        <v>76</v>
      </c>
      <c r="M655" s="16" t="s">
        <v>340</v>
      </c>
    </row>
    <row r="656" customFormat="false" ht="15" hidden="false" customHeight="false" outlineLevel="0" collapsed="false">
      <c r="A656" s="5" t="s">
        <v>54</v>
      </c>
      <c r="B656" s="5" t="s">
        <v>55</v>
      </c>
      <c r="C656" s="5" t="s">
        <v>68</v>
      </c>
      <c r="D656" s="5" t="s">
        <v>82</v>
      </c>
      <c r="E656" s="5" t="s">
        <v>78</v>
      </c>
      <c r="F656" s="5" t="n">
        <v>3</v>
      </c>
      <c r="G656" s="5" t="n">
        <v>3</v>
      </c>
      <c r="H656" s="5" t="n">
        <f aca="false">G656-F656</f>
        <v>0</v>
      </c>
      <c r="I656" s="5" t="n">
        <f aca="false">ABS(H656)</f>
        <v>0</v>
      </c>
      <c r="J656" s="5" t="n">
        <f aca="false">IF(I656=0,1,0)</f>
        <v>1</v>
      </c>
      <c r="K656" s="5" t="n">
        <f aca="false">IF(I656&lt;=1,1,0)</f>
        <v>1</v>
      </c>
      <c r="L656" s="5" t="s">
        <v>71</v>
      </c>
      <c r="M656" s="5" t="s">
        <v>340</v>
      </c>
    </row>
    <row r="657" customFormat="false" ht="15" hidden="false" customHeight="false" outlineLevel="0" collapsed="false">
      <c r="A657" s="16" t="s">
        <v>54</v>
      </c>
      <c r="B657" s="16" t="s">
        <v>55</v>
      </c>
      <c r="C657" s="16" t="s">
        <v>68</v>
      </c>
      <c r="D657" s="16" t="s">
        <v>82</v>
      </c>
      <c r="E657" s="16" t="s">
        <v>79</v>
      </c>
      <c r="F657" s="16" t="n">
        <v>2</v>
      </c>
      <c r="G657" s="16" t="n">
        <v>3</v>
      </c>
      <c r="H657" s="16" t="n">
        <f aca="false">G657-F657</f>
        <v>1</v>
      </c>
      <c r="I657" s="16" t="n">
        <f aca="false">ABS(H657)</f>
        <v>1</v>
      </c>
      <c r="J657" s="16" t="n">
        <f aca="false">IF(I657=0,1,0)</f>
        <v>0</v>
      </c>
      <c r="K657" s="16" t="n">
        <f aca="false">IF(I657&lt;=1,1,0)</f>
        <v>1</v>
      </c>
      <c r="L657" s="16" t="s">
        <v>76</v>
      </c>
      <c r="M657" s="16" t="s">
        <v>340</v>
      </c>
    </row>
    <row r="658" customFormat="false" ht="15" hidden="false" customHeight="false" outlineLevel="0" collapsed="false">
      <c r="A658" s="5" t="s">
        <v>54</v>
      </c>
      <c r="B658" s="5" t="s">
        <v>55</v>
      </c>
      <c r="C658" s="5" t="s">
        <v>68</v>
      </c>
      <c r="D658" s="5" t="s">
        <v>82</v>
      </c>
      <c r="E658" s="5" t="s">
        <v>80</v>
      </c>
      <c r="F658" s="5" t="n">
        <v>2</v>
      </c>
      <c r="G658" s="5" t="n">
        <v>2</v>
      </c>
      <c r="H658" s="5" t="n">
        <f aca="false">G658-F658</f>
        <v>0</v>
      </c>
      <c r="I658" s="5" t="n">
        <f aca="false">ABS(H658)</f>
        <v>0</v>
      </c>
      <c r="J658" s="5" t="n">
        <f aca="false">IF(I658=0,1,0)</f>
        <v>1</v>
      </c>
      <c r="K658" s="5" t="n">
        <f aca="false">IF(I658&lt;=1,1,0)</f>
        <v>1</v>
      </c>
      <c r="L658" s="5" t="s">
        <v>71</v>
      </c>
      <c r="M658" s="5" t="s">
        <v>340</v>
      </c>
    </row>
    <row r="659" customFormat="false" ht="15" hidden="false" customHeight="false" outlineLevel="0" collapsed="false">
      <c r="A659" s="16" t="s">
        <v>54</v>
      </c>
      <c r="B659" s="16" t="s">
        <v>55</v>
      </c>
      <c r="C659" s="16" t="s">
        <v>68</v>
      </c>
      <c r="D659" s="16" t="s">
        <v>82</v>
      </c>
      <c r="E659" s="16" t="s">
        <v>81</v>
      </c>
      <c r="F659" s="16" t="n">
        <v>3</v>
      </c>
      <c r="G659" s="16" t="n">
        <v>2</v>
      </c>
      <c r="H659" s="16" t="n">
        <f aca="false">G659-F659</f>
        <v>-1</v>
      </c>
      <c r="I659" s="16" t="n">
        <f aca="false">ABS(H659)</f>
        <v>1</v>
      </c>
      <c r="J659" s="16" t="n">
        <f aca="false">IF(I659=0,1,0)</f>
        <v>0</v>
      </c>
      <c r="K659" s="16" t="n">
        <f aca="false">IF(I659&lt;=1,1,0)</f>
        <v>1</v>
      </c>
      <c r="L659" s="16" t="s">
        <v>76</v>
      </c>
      <c r="M659" s="16" t="s">
        <v>340</v>
      </c>
    </row>
    <row r="660" customFormat="false" ht="15" hidden="false" customHeight="false" outlineLevel="0" collapsed="false">
      <c r="A660" s="16" t="s">
        <v>54</v>
      </c>
      <c r="B660" s="16" t="s">
        <v>55</v>
      </c>
      <c r="C660" s="16" t="s">
        <v>84</v>
      </c>
      <c r="D660" s="16" t="s">
        <v>69</v>
      </c>
      <c r="E660" s="16" t="s">
        <v>85</v>
      </c>
      <c r="F660" s="16" t="n">
        <v>1</v>
      </c>
      <c r="G660" s="16" t="n">
        <v>0</v>
      </c>
      <c r="H660" s="16" t="n">
        <f aca="false">G660-F660</f>
        <v>-1</v>
      </c>
      <c r="I660" s="16" t="n">
        <f aca="false">ABS(H660)</f>
        <v>1</v>
      </c>
      <c r="J660" s="16" t="n">
        <f aca="false">IF(I660=0,1,0)</f>
        <v>0</v>
      </c>
      <c r="K660" s="16" t="n">
        <f aca="false">IF(I660&lt;=1,1,0)</f>
        <v>1</v>
      </c>
      <c r="L660" s="16" t="s">
        <v>76</v>
      </c>
      <c r="M660" s="16" t="s">
        <v>341</v>
      </c>
    </row>
    <row r="661" customFormat="false" ht="15" hidden="false" customHeight="false" outlineLevel="0" collapsed="false">
      <c r="A661" s="5" t="s">
        <v>54</v>
      </c>
      <c r="B661" s="5" t="s">
        <v>55</v>
      </c>
      <c r="C661" s="5" t="s">
        <v>84</v>
      </c>
      <c r="D661" s="5" t="s">
        <v>87</v>
      </c>
      <c r="E661" s="5" t="s">
        <v>88</v>
      </c>
      <c r="F661" s="5" t="n">
        <v>0</v>
      </c>
      <c r="G661" s="5" t="n">
        <v>0</v>
      </c>
      <c r="H661" s="5" t="n">
        <f aca="false">G661-F661</f>
        <v>0</v>
      </c>
      <c r="I661" s="5" t="n">
        <f aca="false">ABS(H661)</f>
        <v>0</v>
      </c>
      <c r="J661" s="5" t="n">
        <f aca="false">IF(I661=0,1,0)</f>
        <v>1</v>
      </c>
      <c r="K661" s="5" t="n">
        <f aca="false">IF(I661&lt;=1,1,0)</f>
        <v>1</v>
      </c>
      <c r="L661" s="5" t="s">
        <v>71</v>
      </c>
      <c r="M661" s="5" t="s">
        <v>342</v>
      </c>
    </row>
    <row r="662" customFormat="false" ht="15" hidden="false" customHeight="false" outlineLevel="0" collapsed="false">
      <c r="A662" s="5" t="s">
        <v>54</v>
      </c>
      <c r="B662" s="5" t="s">
        <v>55</v>
      </c>
      <c r="C662" s="5" t="s">
        <v>84</v>
      </c>
      <c r="D662" s="5" t="s">
        <v>87</v>
      </c>
      <c r="E662" s="5" t="s">
        <v>90</v>
      </c>
      <c r="F662" s="5" t="n">
        <v>0</v>
      </c>
      <c r="G662" s="5" t="n">
        <v>0</v>
      </c>
      <c r="H662" s="5" t="n">
        <f aca="false">G662-F662</f>
        <v>0</v>
      </c>
      <c r="I662" s="5" t="n">
        <f aca="false">ABS(H662)</f>
        <v>0</v>
      </c>
      <c r="J662" s="5" t="n">
        <f aca="false">IF(I662=0,1,0)</f>
        <v>1</v>
      </c>
      <c r="K662" s="5" t="n">
        <f aca="false">IF(I662&lt;=1,1,0)</f>
        <v>1</v>
      </c>
      <c r="L662" s="5" t="s">
        <v>71</v>
      </c>
      <c r="M662" s="5" t="s">
        <v>342</v>
      </c>
    </row>
    <row r="663" customFormat="false" ht="15" hidden="false" customHeight="false" outlineLevel="0" collapsed="false">
      <c r="A663" s="16" t="s">
        <v>54</v>
      </c>
      <c r="B663" s="16" t="s">
        <v>55</v>
      </c>
      <c r="C663" s="16" t="s">
        <v>84</v>
      </c>
      <c r="D663" s="16" t="s">
        <v>87</v>
      </c>
      <c r="E663" s="16" t="s">
        <v>91</v>
      </c>
      <c r="F663" s="16" t="n">
        <v>1</v>
      </c>
      <c r="G663" s="16" t="n">
        <v>0</v>
      </c>
      <c r="H663" s="16" t="n">
        <f aca="false">G663-F663</f>
        <v>-1</v>
      </c>
      <c r="I663" s="16" t="n">
        <f aca="false">ABS(H663)</f>
        <v>1</v>
      </c>
      <c r="J663" s="16" t="n">
        <f aca="false">IF(I663=0,1,0)</f>
        <v>0</v>
      </c>
      <c r="K663" s="16" t="n">
        <f aca="false">IF(I663&lt;=1,1,0)</f>
        <v>1</v>
      </c>
      <c r="L663" s="16" t="s">
        <v>76</v>
      </c>
      <c r="M663" s="16" t="s">
        <v>342</v>
      </c>
    </row>
    <row r="664" customFormat="false" ht="15" hidden="false" customHeight="false" outlineLevel="0" collapsed="false">
      <c r="A664" s="5" t="s">
        <v>54</v>
      </c>
      <c r="B664" s="5" t="s">
        <v>55</v>
      </c>
      <c r="C664" s="5" t="s">
        <v>84</v>
      </c>
      <c r="D664" s="5" t="s">
        <v>87</v>
      </c>
      <c r="E664" s="5" t="s">
        <v>92</v>
      </c>
      <c r="F664" s="5" t="n">
        <v>1</v>
      </c>
      <c r="G664" s="5" t="n">
        <v>1</v>
      </c>
      <c r="H664" s="5" t="n">
        <f aca="false">G664-F664</f>
        <v>0</v>
      </c>
      <c r="I664" s="5" t="n">
        <f aca="false">ABS(H664)</f>
        <v>0</v>
      </c>
      <c r="J664" s="5" t="n">
        <f aca="false">IF(I664=0,1,0)</f>
        <v>1</v>
      </c>
      <c r="K664" s="5" t="n">
        <f aca="false">IF(I664&lt;=1,1,0)</f>
        <v>1</v>
      </c>
      <c r="L664" s="5" t="s">
        <v>71</v>
      </c>
      <c r="M664" s="5" t="s">
        <v>342</v>
      </c>
    </row>
    <row r="665" customFormat="false" ht="15" hidden="false" customHeight="false" outlineLevel="0" collapsed="false">
      <c r="A665" s="16" t="s">
        <v>54</v>
      </c>
      <c r="B665" s="16" t="s">
        <v>55</v>
      </c>
      <c r="C665" s="16" t="s">
        <v>84</v>
      </c>
      <c r="D665" s="16" t="s">
        <v>87</v>
      </c>
      <c r="E665" s="16" t="s">
        <v>93</v>
      </c>
      <c r="F665" s="16" t="n">
        <v>1</v>
      </c>
      <c r="G665" s="16" t="n">
        <v>0</v>
      </c>
      <c r="H665" s="16" t="n">
        <f aca="false">G665-F665</f>
        <v>-1</v>
      </c>
      <c r="I665" s="16" t="n">
        <f aca="false">ABS(H665)</f>
        <v>1</v>
      </c>
      <c r="J665" s="16" t="n">
        <f aca="false">IF(I665=0,1,0)</f>
        <v>0</v>
      </c>
      <c r="K665" s="16" t="n">
        <f aca="false">IF(I665&lt;=1,1,0)</f>
        <v>1</v>
      </c>
      <c r="L665" s="16" t="s">
        <v>76</v>
      </c>
      <c r="M665" s="16" t="s">
        <v>342</v>
      </c>
    </row>
    <row r="666" customFormat="false" ht="15" hidden="false" customHeight="false" outlineLevel="0" collapsed="false">
      <c r="A666" s="5" t="s">
        <v>54</v>
      </c>
      <c r="B666" s="5" t="s">
        <v>55</v>
      </c>
      <c r="C666" s="5" t="s">
        <v>84</v>
      </c>
      <c r="D666" s="5" t="s">
        <v>87</v>
      </c>
      <c r="E666" s="5" t="s">
        <v>94</v>
      </c>
      <c r="F666" s="5" t="n">
        <v>1</v>
      </c>
      <c r="G666" s="5" t="n">
        <v>1</v>
      </c>
      <c r="H666" s="5" t="n">
        <f aca="false">G666-F666</f>
        <v>0</v>
      </c>
      <c r="I666" s="5" t="n">
        <f aca="false">ABS(H666)</f>
        <v>0</v>
      </c>
      <c r="J666" s="5" t="n">
        <f aca="false">IF(I666=0,1,0)</f>
        <v>1</v>
      </c>
      <c r="K666" s="5" t="n">
        <f aca="false">IF(I666&lt;=1,1,0)</f>
        <v>1</v>
      </c>
      <c r="L666" s="5" t="s">
        <v>71</v>
      </c>
      <c r="M666" s="5" t="s">
        <v>342</v>
      </c>
    </row>
    <row r="667" customFormat="false" ht="15" hidden="false" customHeight="false" outlineLevel="0" collapsed="false">
      <c r="A667" s="5" t="s">
        <v>54</v>
      </c>
      <c r="B667" s="5" t="s">
        <v>55</v>
      </c>
      <c r="C667" s="5" t="s">
        <v>84</v>
      </c>
      <c r="D667" s="5" t="s">
        <v>87</v>
      </c>
      <c r="E667" s="5" t="s">
        <v>95</v>
      </c>
      <c r="F667" s="5" t="n">
        <v>0</v>
      </c>
      <c r="G667" s="5" t="n">
        <v>0</v>
      </c>
      <c r="H667" s="5" t="n">
        <f aca="false">G667-F667</f>
        <v>0</v>
      </c>
      <c r="I667" s="5" t="n">
        <f aca="false">ABS(H667)</f>
        <v>0</v>
      </c>
      <c r="J667" s="5" t="n">
        <f aca="false">IF(I667=0,1,0)</f>
        <v>1</v>
      </c>
      <c r="K667" s="5" t="n">
        <f aca="false">IF(I667&lt;=1,1,0)</f>
        <v>1</v>
      </c>
      <c r="L667" s="5" t="s">
        <v>71</v>
      </c>
      <c r="M667" s="5" t="s">
        <v>342</v>
      </c>
    </row>
    <row r="668" customFormat="false" ht="15" hidden="false" customHeight="false" outlineLevel="0" collapsed="false">
      <c r="A668" s="5" t="s">
        <v>54</v>
      </c>
      <c r="B668" s="5" t="s">
        <v>55</v>
      </c>
      <c r="C668" s="5" t="s">
        <v>84</v>
      </c>
      <c r="D668" s="5" t="s">
        <v>96</v>
      </c>
      <c r="E668" s="5" t="s">
        <v>88</v>
      </c>
      <c r="F668" s="5" t="n">
        <v>3</v>
      </c>
      <c r="G668" s="5" t="n">
        <v>3</v>
      </c>
      <c r="H668" s="5" t="n">
        <f aca="false">G668-F668</f>
        <v>0</v>
      </c>
      <c r="I668" s="5" t="n">
        <f aca="false">ABS(H668)</f>
        <v>0</v>
      </c>
      <c r="J668" s="5" t="n">
        <f aca="false">IF(I668=0,1,0)</f>
        <v>1</v>
      </c>
      <c r="K668" s="5" t="n">
        <f aca="false">IF(I668&lt;=1,1,0)</f>
        <v>1</v>
      </c>
      <c r="L668" s="5" t="s">
        <v>71</v>
      </c>
      <c r="M668" s="5" t="s">
        <v>343</v>
      </c>
    </row>
    <row r="669" customFormat="false" ht="15" hidden="false" customHeight="false" outlineLevel="0" collapsed="false">
      <c r="A669" s="5" t="s">
        <v>54</v>
      </c>
      <c r="B669" s="5" t="s">
        <v>55</v>
      </c>
      <c r="C669" s="5" t="s">
        <v>84</v>
      </c>
      <c r="D669" s="5" t="s">
        <v>96</v>
      </c>
      <c r="E669" s="5" t="s">
        <v>98</v>
      </c>
      <c r="F669" s="5" t="n">
        <v>2</v>
      </c>
      <c r="G669" s="5" t="n">
        <v>2</v>
      </c>
      <c r="H669" s="5" t="n">
        <f aca="false">G669-F669</f>
        <v>0</v>
      </c>
      <c r="I669" s="5" t="n">
        <f aca="false">ABS(H669)</f>
        <v>0</v>
      </c>
      <c r="J669" s="5" t="n">
        <f aca="false">IF(I669=0,1,0)</f>
        <v>1</v>
      </c>
      <c r="K669" s="5" t="n">
        <f aca="false">IF(I669&lt;=1,1,0)</f>
        <v>1</v>
      </c>
      <c r="L669" s="5" t="s">
        <v>71</v>
      </c>
      <c r="M669" s="5" t="s">
        <v>343</v>
      </c>
    </row>
    <row r="670" customFormat="false" ht="15" hidden="false" customHeight="false" outlineLevel="0" collapsed="false">
      <c r="A670" s="5" t="s">
        <v>54</v>
      </c>
      <c r="B670" s="5" t="s">
        <v>55</v>
      </c>
      <c r="C670" s="5" t="s">
        <v>84</v>
      </c>
      <c r="D670" s="5" t="s">
        <v>96</v>
      </c>
      <c r="E670" s="5" t="s">
        <v>99</v>
      </c>
      <c r="F670" s="5" t="n">
        <v>3</v>
      </c>
      <c r="G670" s="5" t="n">
        <v>3</v>
      </c>
      <c r="H670" s="5" t="n">
        <f aca="false">G670-F670</f>
        <v>0</v>
      </c>
      <c r="I670" s="5" t="n">
        <f aca="false">ABS(H670)</f>
        <v>0</v>
      </c>
      <c r="J670" s="5" t="n">
        <f aca="false">IF(I670=0,1,0)</f>
        <v>1</v>
      </c>
      <c r="K670" s="5" t="n">
        <f aca="false">IF(I670&lt;=1,1,0)</f>
        <v>1</v>
      </c>
      <c r="L670" s="5" t="s">
        <v>71</v>
      </c>
      <c r="M670" s="5" t="s">
        <v>343</v>
      </c>
    </row>
    <row r="671" customFormat="false" ht="15" hidden="false" customHeight="false" outlineLevel="0" collapsed="false">
      <c r="A671" s="5" t="s">
        <v>54</v>
      </c>
      <c r="B671" s="5" t="s">
        <v>55</v>
      </c>
      <c r="C671" s="5" t="s">
        <v>84</v>
      </c>
      <c r="D671" s="5" t="s">
        <v>96</v>
      </c>
      <c r="E671" s="5" t="s">
        <v>93</v>
      </c>
      <c r="F671" s="5" t="n">
        <v>3</v>
      </c>
      <c r="G671" s="5" t="n">
        <v>3</v>
      </c>
      <c r="H671" s="5" t="n">
        <f aca="false">G671-F671</f>
        <v>0</v>
      </c>
      <c r="I671" s="5" t="n">
        <f aca="false">ABS(H671)</f>
        <v>0</v>
      </c>
      <c r="J671" s="5" t="n">
        <f aca="false">IF(I671=0,1,0)</f>
        <v>1</v>
      </c>
      <c r="K671" s="5" t="n">
        <f aca="false">IF(I671&lt;=1,1,0)</f>
        <v>1</v>
      </c>
      <c r="L671" s="5" t="s">
        <v>71</v>
      </c>
      <c r="M671" s="5" t="s">
        <v>343</v>
      </c>
    </row>
    <row r="672" customFormat="false" ht="15" hidden="false" customHeight="false" outlineLevel="0" collapsed="false">
      <c r="A672" s="5" t="s">
        <v>54</v>
      </c>
      <c r="B672" s="5" t="s">
        <v>55</v>
      </c>
      <c r="C672" s="5" t="s">
        <v>84</v>
      </c>
      <c r="D672" s="5" t="s">
        <v>96</v>
      </c>
      <c r="E672" s="5" t="s">
        <v>95</v>
      </c>
      <c r="F672" s="5" t="n">
        <v>3</v>
      </c>
      <c r="G672" s="5" t="n">
        <v>3</v>
      </c>
      <c r="H672" s="5" t="n">
        <f aca="false">G672-F672</f>
        <v>0</v>
      </c>
      <c r="I672" s="5" t="n">
        <f aca="false">ABS(H672)</f>
        <v>0</v>
      </c>
      <c r="J672" s="5" t="n">
        <f aca="false">IF(I672=0,1,0)</f>
        <v>1</v>
      </c>
      <c r="K672" s="5" t="n">
        <f aca="false">IF(I672&lt;=1,1,0)</f>
        <v>1</v>
      </c>
      <c r="L672" s="5" t="s">
        <v>71</v>
      </c>
      <c r="M672" s="5" t="s">
        <v>343</v>
      </c>
    </row>
    <row r="673" customFormat="false" ht="15" hidden="false" customHeight="false" outlineLevel="0" collapsed="false">
      <c r="A673" s="5" t="s">
        <v>54</v>
      </c>
      <c r="B673" s="5" t="s">
        <v>55</v>
      </c>
      <c r="C673" s="5" t="s">
        <v>100</v>
      </c>
      <c r="D673" s="5" t="s">
        <v>69</v>
      </c>
      <c r="E673" s="5" t="s">
        <v>101</v>
      </c>
      <c r="F673" s="5" t="n">
        <v>0</v>
      </c>
      <c r="G673" s="5" t="n">
        <v>0</v>
      </c>
      <c r="H673" s="5" t="n">
        <f aca="false">G673-F673</f>
        <v>0</v>
      </c>
      <c r="I673" s="5" t="n">
        <f aca="false">ABS(H673)</f>
        <v>0</v>
      </c>
      <c r="J673" s="5" t="n">
        <f aca="false">IF(I673=0,1,0)</f>
        <v>1</v>
      </c>
      <c r="K673" s="5" t="n">
        <f aca="false">IF(I673&lt;=1,1,0)</f>
        <v>1</v>
      </c>
      <c r="L673" s="5" t="s">
        <v>71</v>
      </c>
      <c r="M673" s="5" t="s">
        <v>344</v>
      </c>
    </row>
    <row r="674" customFormat="false" ht="15" hidden="false" customHeight="false" outlineLevel="0" collapsed="false">
      <c r="A674" s="5" t="s">
        <v>54</v>
      </c>
      <c r="B674" s="5" t="s">
        <v>55</v>
      </c>
      <c r="C674" s="5" t="s">
        <v>100</v>
      </c>
      <c r="D674" s="5" t="s">
        <v>69</v>
      </c>
      <c r="E674" s="5" t="s">
        <v>103</v>
      </c>
      <c r="F674" s="5" t="n">
        <v>3</v>
      </c>
      <c r="G674" s="5" t="n">
        <v>3</v>
      </c>
      <c r="H674" s="5" t="n">
        <f aca="false">G674-F674</f>
        <v>0</v>
      </c>
      <c r="I674" s="5" t="n">
        <f aca="false">ABS(H674)</f>
        <v>0</v>
      </c>
      <c r="J674" s="5" t="n">
        <f aca="false">IF(I674=0,1,0)</f>
        <v>1</v>
      </c>
      <c r="K674" s="5" t="n">
        <f aca="false">IF(I674&lt;=1,1,0)</f>
        <v>1</v>
      </c>
      <c r="L674" s="5" t="s">
        <v>71</v>
      </c>
      <c r="M674" s="5" t="s">
        <v>344</v>
      </c>
    </row>
    <row r="675" customFormat="false" ht="15" hidden="false" customHeight="false" outlineLevel="0" collapsed="false">
      <c r="A675" s="5" t="s">
        <v>54</v>
      </c>
      <c r="B675" s="5" t="s">
        <v>55</v>
      </c>
      <c r="C675" s="5" t="s">
        <v>100</v>
      </c>
      <c r="D675" s="5" t="s">
        <v>69</v>
      </c>
      <c r="E675" s="5" t="s">
        <v>265</v>
      </c>
      <c r="F675" s="5" t="n">
        <v>3</v>
      </c>
      <c r="G675" s="5" t="n">
        <v>3</v>
      </c>
      <c r="H675" s="5" t="n">
        <f aca="false">G675-F675</f>
        <v>0</v>
      </c>
      <c r="I675" s="5" t="n">
        <f aca="false">ABS(H675)</f>
        <v>0</v>
      </c>
      <c r="J675" s="5" t="n">
        <f aca="false">IF(I675=0,1,0)</f>
        <v>1</v>
      </c>
      <c r="K675" s="5" t="n">
        <f aca="false">IF(I675&lt;=1,1,0)</f>
        <v>1</v>
      </c>
      <c r="L675" s="5" t="s">
        <v>71</v>
      </c>
      <c r="M675" s="5" t="s">
        <v>344</v>
      </c>
    </row>
    <row r="676" customFormat="false" ht="15" hidden="false" customHeight="false" outlineLevel="0" collapsed="false">
      <c r="A676" s="5" t="s">
        <v>54</v>
      </c>
      <c r="B676" s="5" t="s">
        <v>55</v>
      </c>
      <c r="C676" s="5" t="s">
        <v>100</v>
      </c>
      <c r="D676" s="5" t="s">
        <v>69</v>
      </c>
      <c r="E676" s="5" t="s">
        <v>105</v>
      </c>
      <c r="F676" s="5" t="n">
        <v>3</v>
      </c>
      <c r="G676" s="5" t="n">
        <v>3</v>
      </c>
      <c r="H676" s="5" t="n">
        <f aca="false">G676-F676</f>
        <v>0</v>
      </c>
      <c r="I676" s="5" t="n">
        <f aca="false">ABS(H676)</f>
        <v>0</v>
      </c>
      <c r="J676" s="5" t="n">
        <f aca="false">IF(I676=0,1,0)</f>
        <v>1</v>
      </c>
      <c r="K676" s="5" t="n">
        <f aca="false">IF(I676&lt;=1,1,0)</f>
        <v>1</v>
      </c>
      <c r="L676" s="5" t="s">
        <v>71</v>
      </c>
      <c r="M676" s="5" t="s">
        <v>344</v>
      </c>
    </row>
    <row r="677" customFormat="false" ht="15" hidden="false" customHeight="false" outlineLevel="0" collapsed="false">
      <c r="A677" s="5" t="s">
        <v>54</v>
      </c>
      <c r="B677" s="5" t="s">
        <v>55</v>
      </c>
      <c r="C677" s="5" t="s">
        <v>100</v>
      </c>
      <c r="D677" s="5" t="s">
        <v>69</v>
      </c>
      <c r="E677" s="5" t="s">
        <v>266</v>
      </c>
      <c r="F677" s="5" t="n">
        <v>3</v>
      </c>
      <c r="G677" s="5" t="n">
        <v>3</v>
      </c>
      <c r="H677" s="5" t="n">
        <f aca="false">G677-F677</f>
        <v>0</v>
      </c>
      <c r="I677" s="5" t="n">
        <f aca="false">ABS(H677)</f>
        <v>0</v>
      </c>
      <c r="J677" s="5" t="n">
        <f aca="false">IF(I677=0,1,0)</f>
        <v>1</v>
      </c>
      <c r="K677" s="5" t="n">
        <f aca="false">IF(I677&lt;=1,1,0)</f>
        <v>1</v>
      </c>
      <c r="L677" s="5" t="s">
        <v>71</v>
      </c>
      <c r="M677" s="5" t="s">
        <v>344</v>
      </c>
    </row>
    <row r="678" customFormat="false" ht="15" hidden="false" customHeight="false" outlineLevel="0" collapsed="false">
      <c r="A678" s="5" t="s">
        <v>54</v>
      </c>
      <c r="B678" s="5" t="s">
        <v>55</v>
      </c>
      <c r="C678" s="5" t="s">
        <v>100</v>
      </c>
      <c r="D678" s="5" t="s">
        <v>107</v>
      </c>
      <c r="E678" s="5" t="s">
        <v>232</v>
      </c>
      <c r="F678" s="5" t="n">
        <v>0</v>
      </c>
      <c r="G678" s="5" t="n">
        <v>0</v>
      </c>
      <c r="H678" s="5" t="n">
        <f aca="false">G678-F678</f>
        <v>0</v>
      </c>
      <c r="I678" s="5" t="n">
        <f aca="false">ABS(H678)</f>
        <v>0</v>
      </c>
      <c r="J678" s="5" t="n">
        <f aca="false">IF(I678=0,1,0)</f>
        <v>1</v>
      </c>
      <c r="K678" s="5" t="n">
        <f aca="false">IF(I678&lt;=1,1,0)</f>
        <v>1</v>
      </c>
      <c r="L678" s="5" t="s">
        <v>71</v>
      </c>
      <c r="M678" s="5" t="s">
        <v>345</v>
      </c>
    </row>
    <row r="679" customFormat="false" ht="15" hidden="false" customHeight="false" outlineLevel="0" collapsed="false">
      <c r="A679" s="5" t="s">
        <v>54</v>
      </c>
      <c r="B679" s="5" t="s">
        <v>55</v>
      </c>
      <c r="C679" s="5" t="s">
        <v>100</v>
      </c>
      <c r="D679" s="5" t="s">
        <v>107</v>
      </c>
      <c r="E679" s="5" t="s">
        <v>234</v>
      </c>
      <c r="F679" s="5" t="n">
        <v>1</v>
      </c>
      <c r="G679" s="5" t="n">
        <v>1</v>
      </c>
      <c r="H679" s="5" t="n">
        <f aca="false">G679-F679</f>
        <v>0</v>
      </c>
      <c r="I679" s="5" t="n">
        <f aca="false">ABS(H679)</f>
        <v>0</v>
      </c>
      <c r="J679" s="5" t="n">
        <f aca="false">IF(I679=0,1,0)</f>
        <v>1</v>
      </c>
      <c r="K679" s="5" t="n">
        <f aca="false">IF(I679&lt;=1,1,0)</f>
        <v>1</v>
      </c>
      <c r="L679" s="5" t="s">
        <v>71</v>
      </c>
      <c r="M679" s="5" t="s">
        <v>345</v>
      </c>
    </row>
    <row r="680" customFormat="false" ht="15" hidden="false" customHeight="false" outlineLevel="0" collapsed="false">
      <c r="A680" s="5" t="s">
        <v>54</v>
      </c>
      <c r="B680" s="5" t="s">
        <v>55</v>
      </c>
      <c r="C680" s="5" t="s">
        <v>100</v>
      </c>
      <c r="D680" s="5" t="s">
        <v>107</v>
      </c>
      <c r="E680" s="5" t="s">
        <v>108</v>
      </c>
      <c r="F680" s="5" t="n">
        <v>1</v>
      </c>
      <c r="G680" s="5" t="n">
        <v>1</v>
      </c>
      <c r="H680" s="5" t="n">
        <f aca="false">G680-F680</f>
        <v>0</v>
      </c>
      <c r="I680" s="5" t="n">
        <f aca="false">ABS(H680)</f>
        <v>0</v>
      </c>
      <c r="J680" s="5" t="n">
        <f aca="false">IF(I680=0,1,0)</f>
        <v>1</v>
      </c>
      <c r="K680" s="5" t="n">
        <f aca="false">IF(I680&lt;=1,1,0)</f>
        <v>1</v>
      </c>
      <c r="L680" s="5" t="s">
        <v>71</v>
      </c>
      <c r="M680" s="5" t="s">
        <v>345</v>
      </c>
    </row>
    <row r="681" customFormat="false" ht="15" hidden="false" customHeight="false" outlineLevel="0" collapsed="false">
      <c r="A681" s="5" t="s">
        <v>54</v>
      </c>
      <c r="B681" s="5" t="s">
        <v>55</v>
      </c>
      <c r="C681" s="5" t="s">
        <v>100</v>
      </c>
      <c r="D681" s="5" t="s">
        <v>107</v>
      </c>
      <c r="E681" s="5" t="s">
        <v>235</v>
      </c>
      <c r="F681" s="5" t="n">
        <v>0</v>
      </c>
      <c r="G681" s="5" t="n">
        <v>0</v>
      </c>
      <c r="H681" s="5" t="n">
        <f aca="false">G681-F681</f>
        <v>0</v>
      </c>
      <c r="I681" s="5" t="n">
        <f aca="false">ABS(H681)</f>
        <v>0</v>
      </c>
      <c r="J681" s="5" t="n">
        <f aca="false">IF(I681=0,1,0)</f>
        <v>1</v>
      </c>
      <c r="K681" s="5" t="n">
        <f aca="false">IF(I681&lt;=1,1,0)</f>
        <v>1</v>
      </c>
      <c r="L681" s="5" t="s">
        <v>71</v>
      </c>
      <c r="M681" s="5" t="s">
        <v>345</v>
      </c>
    </row>
    <row r="682" customFormat="false" ht="15" hidden="false" customHeight="false" outlineLevel="0" collapsed="false">
      <c r="A682" s="5" t="s">
        <v>54</v>
      </c>
      <c r="B682" s="5" t="s">
        <v>55</v>
      </c>
      <c r="C682" s="5" t="s">
        <v>100</v>
      </c>
      <c r="D682" s="5" t="s">
        <v>107</v>
      </c>
      <c r="E682" s="5" t="s">
        <v>236</v>
      </c>
      <c r="F682" s="5" t="n">
        <v>1</v>
      </c>
      <c r="G682" s="5" t="n">
        <v>1</v>
      </c>
      <c r="H682" s="5" t="n">
        <f aca="false">G682-F682</f>
        <v>0</v>
      </c>
      <c r="I682" s="5" t="n">
        <f aca="false">ABS(H682)</f>
        <v>0</v>
      </c>
      <c r="J682" s="5" t="n">
        <f aca="false">IF(I682=0,1,0)</f>
        <v>1</v>
      </c>
      <c r="K682" s="5" t="n">
        <f aca="false">IF(I682&lt;=1,1,0)</f>
        <v>1</v>
      </c>
      <c r="L682" s="5" t="s">
        <v>71</v>
      </c>
      <c r="M682" s="5" t="s">
        <v>345</v>
      </c>
    </row>
    <row r="683" customFormat="false" ht="15" hidden="false" customHeight="false" outlineLevel="0" collapsed="false">
      <c r="A683" s="5" t="s">
        <v>54</v>
      </c>
      <c r="B683" s="5" t="s">
        <v>55</v>
      </c>
      <c r="C683" s="5" t="s">
        <v>100</v>
      </c>
      <c r="D683" s="5" t="s">
        <v>107</v>
      </c>
      <c r="E683" s="5" t="s">
        <v>110</v>
      </c>
      <c r="F683" s="5" t="n">
        <v>3</v>
      </c>
      <c r="G683" s="5" t="n">
        <v>3</v>
      </c>
      <c r="H683" s="5" t="n">
        <f aca="false">G683-F683</f>
        <v>0</v>
      </c>
      <c r="I683" s="5" t="n">
        <f aca="false">ABS(H683)</f>
        <v>0</v>
      </c>
      <c r="J683" s="5" t="n">
        <f aca="false">IF(I683=0,1,0)</f>
        <v>1</v>
      </c>
      <c r="K683" s="5" t="n">
        <f aca="false">IF(I683&lt;=1,1,0)</f>
        <v>1</v>
      </c>
      <c r="L683" s="5" t="s">
        <v>71</v>
      </c>
      <c r="M683" s="5" t="s">
        <v>345</v>
      </c>
    </row>
    <row r="684" customFormat="false" ht="15" hidden="false" customHeight="false" outlineLevel="0" collapsed="false">
      <c r="A684" s="5" t="s">
        <v>54</v>
      </c>
      <c r="B684" s="5" t="s">
        <v>55</v>
      </c>
      <c r="C684" s="5" t="s">
        <v>100</v>
      </c>
      <c r="D684" s="5" t="s">
        <v>107</v>
      </c>
      <c r="E684" s="5" t="s">
        <v>237</v>
      </c>
      <c r="F684" s="5" t="n">
        <v>3</v>
      </c>
      <c r="G684" s="5" t="n">
        <v>3</v>
      </c>
      <c r="H684" s="5" t="n">
        <f aca="false">G684-F684</f>
        <v>0</v>
      </c>
      <c r="I684" s="5" t="n">
        <f aca="false">ABS(H684)</f>
        <v>0</v>
      </c>
      <c r="J684" s="5" t="n">
        <f aca="false">IF(I684=0,1,0)</f>
        <v>1</v>
      </c>
      <c r="K684" s="5" t="n">
        <f aca="false">IF(I684&lt;=1,1,0)</f>
        <v>1</v>
      </c>
      <c r="L684" s="5" t="s">
        <v>71</v>
      </c>
      <c r="M684" s="5" t="s">
        <v>345</v>
      </c>
    </row>
    <row r="685" customFormat="false" ht="15" hidden="false" customHeight="false" outlineLevel="0" collapsed="false">
      <c r="A685" s="5" t="s">
        <v>54</v>
      </c>
      <c r="B685" s="5" t="s">
        <v>55</v>
      </c>
      <c r="C685" s="5" t="s">
        <v>100</v>
      </c>
      <c r="D685" s="5" t="s">
        <v>107</v>
      </c>
      <c r="E685" s="5" t="s">
        <v>346</v>
      </c>
      <c r="F685" s="5" t="n">
        <v>3</v>
      </c>
      <c r="G685" s="5" t="n">
        <v>3</v>
      </c>
      <c r="H685" s="5" t="n">
        <f aca="false">G685-F685</f>
        <v>0</v>
      </c>
      <c r="I685" s="5" t="n">
        <f aca="false">ABS(H685)</f>
        <v>0</v>
      </c>
      <c r="J685" s="5" t="n">
        <f aca="false">IF(I685=0,1,0)</f>
        <v>1</v>
      </c>
      <c r="K685" s="5" t="n">
        <f aca="false">IF(I685&lt;=1,1,0)</f>
        <v>1</v>
      </c>
      <c r="L685" s="5" t="s">
        <v>71</v>
      </c>
      <c r="M685" s="5" t="s">
        <v>345</v>
      </c>
    </row>
    <row r="686" customFormat="false" ht="15" hidden="false" customHeight="false" outlineLevel="0" collapsed="false">
      <c r="A686" s="5" t="s">
        <v>54</v>
      </c>
      <c r="B686" s="5" t="s">
        <v>55</v>
      </c>
      <c r="C686" s="5" t="s">
        <v>100</v>
      </c>
      <c r="D686" s="5" t="s">
        <v>107</v>
      </c>
      <c r="E686" s="5" t="s">
        <v>238</v>
      </c>
      <c r="F686" s="5" t="n">
        <v>1</v>
      </c>
      <c r="G686" s="5" t="n">
        <v>1</v>
      </c>
      <c r="H686" s="5" t="n">
        <f aca="false">G686-F686</f>
        <v>0</v>
      </c>
      <c r="I686" s="5" t="n">
        <f aca="false">ABS(H686)</f>
        <v>0</v>
      </c>
      <c r="J686" s="5" t="n">
        <f aca="false">IF(I686=0,1,0)</f>
        <v>1</v>
      </c>
      <c r="K686" s="5" t="n">
        <f aca="false">IF(I686&lt;=1,1,0)</f>
        <v>1</v>
      </c>
      <c r="L686" s="5" t="s">
        <v>71</v>
      </c>
      <c r="M686" s="5" t="s">
        <v>345</v>
      </c>
    </row>
    <row r="687" customFormat="false" ht="15" hidden="false" customHeight="false" outlineLevel="0" collapsed="false">
      <c r="A687" s="5" t="s">
        <v>54</v>
      </c>
      <c r="B687" s="5" t="s">
        <v>55</v>
      </c>
      <c r="C687" s="5" t="s">
        <v>100</v>
      </c>
      <c r="D687" s="5" t="s">
        <v>107</v>
      </c>
      <c r="E687" s="5" t="s">
        <v>112</v>
      </c>
      <c r="F687" s="5" t="n">
        <v>1</v>
      </c>
      <c r="G687" s="5" t="n">
        <v>1</v>
      </c>
      <c r="H687" s="5" t="n">
        <f aca="false">G687-F687</f>
        <v>0</v>
      </c>
      <c r="I687" s="5" t="n">
        <f aca="false">ABS(H687)</f>
        <v>0</v>
      </c>
      <c r="J687" s="5" t="n">
        <f aca="false">IF(I687=0,1,0)</f>
        <v>1</v>
      </c>
      <c r="K687" s="5" t="n">
        <f aca="false">IF(I687&lt;=1,1,0)</f>
        <v>1</v>
      </c>
      <c r="L687" s="5" t="s">
        <v>71</v>
      </c>
      <c r="M687" s="5" t="s">
        <v>345</v>
      </c>
    </row>
    <row r="688" customFormat="false" ht="15" hidden="false" customHeight="false" outlineLevel="0" collapsed="false">
      <c r="A688" s="5" t="s">
        <v>54</v>
      </c>
      <c r="B688" s="5" t="s">
        <v>55</v>
      </c>
      <c r="C688" s="5" t="s">
        <v>100</v>
      </c>
      <c r="D688" s="5" t="s">
        <v>107</v>
      </c>
      <c r="E688" s="5" t="s">
        <v>347</v>
      </c>
      <c r="F688" s="5" t="n">
        <v>1</v>
      </c>
      <c r="G688" s="5" t="n">
        <v>1</v>
      </c>
      <c r="H688" s="5" t="n">
        <f aca="false">G688-F688</f>
        <v>0</v>
      </c>
      <c r="I688" s="5" t="n">
        <f aca="false">ABS(H688)</f>
        <v>0</v>
      </c>
      <c r="J688" s="5" t="n">
        <f aca="false">IF(I688=0,1,0)</f>
        <v>1</v>
      </c>
      <c r="K688" s="5" t="n">
        <f aca="false">IF(I688&lt;=1,1,0)</f>
        <v>1</v>
      </c>
      <c r="L688" s="5" t="s">
        <v>71</v>
      </c>
      <c r="M688" s="5" t="s">
        <v>345</v>
      </c>
    </row>
    <row r="689" customFormat="false" ht="15" hidden="false" customHeight="false" outlineLevel="0" collapsed="false">
      <c r="A689" s="5" t="s">
        <v>54</v>
      </c>
      <c r="B689" s="5" t="s">
        <v>55</v>
      </c>
      <c r="C689" s="5" t="s">
        <v>100</v>
      </c>
      <c r="D689" s="5" t="s">
        <v>107</v>
      </c>
      <c r="E689" s="5" t="s">
        <v>113</v>
      </c>
      <c r="F689" s="5" t="n">
        <v>3</v>
      </c>
      <c r="G689" s="5" t="n">
        <v>3</v>
      </c>
      <c r="H689" s="5" t="n">
        <f aca="false">G689-F689</f>
        <v>0</v>
      </c>
      <c r="I689" s="5" t="n">
        <f aca="false">ABS(H689)</f>
        <v>0</v>
      </c>
      <c r="J689" s="5" t="n">
        <f aca="false">IF(I689=0,1,0)</f>
        <v>1</v>
      </c>
      <c r="K689" s="5" t="n">
        <f aca="false">IF(I689&lt;=1,1,0)</f>
        <v>1</v>
      </c>
      <c r="L689" s="5" t="s">
        <v>71</v>
      </c>
      <c r="M689" s="5" t="s">
        <v>345</v>
      </c>
    </row>
    <row r="690" customFormat="false" ht="15" hidden="false" customHeight="false" outlineLevel="0" collapsed="false">
      <c r="A690" s="5" t="s">
        <v>54</v>
      </c>
      <c r="B690" s="5" t="s">
        <v>55</v>
      </c>
      <c r="C690" s="5" t="s">
        <v>100</v>
      </c>
      <c r="D690" s="5" t="s">
        <v>114</v>
      </c>
      <c r="E690" s="5" t="s">
        <v>232</v>
      </c>
      <c r="F690" s="5" t="n">
        <v>0</v>
      </c>
      <c r="G690" s="5" t="n">
        <v>0</v>
      </c>
      <c r="H690" s="5" t="n">
        <f aca="false">G690-F690</f>
        <v>0</v>
      </c>
      <c r="I690" s="5" t="n">
        <f aca="false">ABS(H690)</f>
        <v>0</v>
      </c>
      <c r="J690" s="5" t="n">
        <f aca="false">IF(I690=0,1,0)</f>
        <v>1</v>
      </c>
      <c r="K690" s="5" t="n">
        <f aca="false">IF(I690&lt;=1,1,0)</f>
        <v>1</v>
      </c>
      <c r="L690" s="5" t="s">
        <v>71</v>
      </c>
      <c r="M690" s="5" t="s">
        <v>348</v>
      </c>
    </row>
    <row r="691" customFormat="false" ht="15" hidden="false" customHeight="false" outlineLevel="0" collapsed="false">
      <c r="A691" s="16" t="s">
        <v>54</v>
      </c>
      <c r="B691" s="16" t="s">
        <v>55</v>
      </c>
      <c r="C691" s="16" t="s">
        <v>100</v>
      </c>
      <c r="D691" s="16" t="s">
        <v>114</v>
      </c>
      <c r="E691" s="16" t="s">
        <v>234</v>
      </c>
      <c r="F691" s="16" t="n">
        <v>0</v>
      </c>
      <c r="G691" s="16" t="n">
        <v>1</v>
      </c>
      <c r="H691" s="16" t="n">
        <f aca="false">G691-F691</f>
        <v>1</v>
      </c>
      <c r="I691" s="16" t="n">
        <f aca="false">ABS(H691)</f>
        <v>1</v>
      </c>
      <c r="J691" s="16" t="n">
        <f aca="false">IF(I691=0,1,0)</f>
        <v>0</v>
      </c>
      <c r="K691" s="16" t="n">
        <f aca="false">IF(I691&lt;=1,1,0)</f>
        <v>1</v>
      </c>
      <c r="L691" s="16" t="s">
        <v>76</v>
      </c>
      <c r="M691" s="16" t="s">
        <v>348</v>
      </c>
    </row>
    <row r="692" customFormat="false" ht="15" hidden="false" customHeight="false" outlineLevel="0" collapsed="false">
      <c r="A692" s="5" t="s">
        <v>54</v>
      </c>
      <c r="B692" s="5" t="s">
        <v>55</v>
      </c>
      <c r="C692" s="5" t="s">
        <v>100</v>
      </c>
      <c r="D692" s="5" t="s">
        <v>114</v>
      </c>
      <c r="E692" s="5" t="s">
        <v>108</v>
      </c>
      <c r="F692" s="5" t="n">
        <v>0</v>
      </c>
      <c r="G692" s="5" t="n">
        <v>0</v>
      </c>
      <c r="H692" s="5" t="n">
        <f aca="false">G692-F692</f>
        <v>0</v>
      </c>
      <c r="I692" s="5" t="n">
        <f aca="false">ABS(H692)</f>
        <v>0</v>
      </c>
      <c r="J692" s="5" t="n">
        <f aca="false">IF(I692=0,1,0)</f>
        <v>1</v>
      </c>
      <c r="K692" s="5" t="n">
        <f aca="false">IF(I692&lt;=1,1,0)</f>
        <v>1</v>
      </c>
      <c r="L692" s="5" t="s">
        <v>71</v>
      </c>
      <c r="M692" s="5" t="s">
        <v>348</v>
      </c>
    </row>
    <row r="693" customFormat="false" ht="15" hidden="false" customHeight="false" outlineLevel="0" collapsed="false">
      <c r="A693" s="5" t="s">
        <v>54</v>
      </c>
      <c r="B693" s="5" t="s">
        <v>55</v>
      </c>
      <c r="C693" s="5" t="s">
        <v>100</v>
      </c>
      <c r="D693" s="5" t="s">
        <v>114</v>
      </c>
      <c r="E693" s="5" t="s">
        <v>235</v>
      </c>
      <c r="F693" s="5" t="n">
        <v>0</v>
      </c>
      <c r="G693" s="5" t="n">
        <v>0</v>
      </c>
      <c r="H693" s="5" t="n">
        <f aca="false">G693-F693</f>
        <v>0</v>
      </c>
      <c r="I693" s="5" t="n">
        <f aca="false">ABS(H693)</f>
        <v>0</v>
      </c>
      <c r="J693" s="5" t="n">
        <f aca="false">IF(I693=0,1,0)</f>
        <v>1</v>
      </c>
      <c r="K693" s="5" t="n">
        <f aca="false">IF(I693&lt;=1,1,0)</f>
        <v>1</v>
      </c>
      <c r="L693" s="5" t="s">
        <v>71</v>
      </c>
      <c r="M693" s="5" t="s">
        <v>348</v>
      </c>
    </row>
    <row r="694" customFormat="false" ht="15" hidden="false" customHeight="false" outlineLevel="0" collapsed="false">
      <c r="A694" s="5" t="s">
        <v>54</v>
      </c>
      <c r="B694" s="5" t="s">
        <v>55</v>
      </c>
      <c r="C694" s="5" t="s">
        <v>100</v>
      </c>
      <c r="D694" s="5" t="s">
        <v>114</v>
      </c>
      <c r="E694" s="5" t="s">
        <v>236</v>
      </c>
      <c r="F694" s="5" t="n">
        <v>0</v>
      </c>
      <c r="G694" s="5" t="n">
        <v>0</v>
      </c>
      <c r="H694" s="5" t="n">
        <f aca="false">G694-F694</f>
        <v>0</v>
      </c>
      <c r="I694" s="5" t="n">
        <f aca="false">ABS(H694)</f>
        <v>0</v>
      </c>
      <c r="J694" s="5" t="n">
        <f aca="false">IF(I694=0,1,0)</f>
        <v>1</v>
      </c>
      <c r="K694" s="5" t="n">
        <f aca="false">IF(I694&lt;=1,1,0)</f>
        <v>1</v>
      </c>
      <c r="L694" s="5" t="s">
        <v>71</v>
      </c>
      <c r="M694" s="5" t="s">
        <v>348</v>
      </c>
    </row>
    <row r="695" customFormat="false" ht="15" hidden="false" customHeight="false" outlineLevel="0" collapsed="false">
      <c r="A695" s="5" t="s">
        <v>54</v>
      </c>
      <c r="B695" s="5" t="s">
        <v>55</v>
      </c>
      <c r="C695" s="5" t="s">
        <v>100</v>
      </c>
      <c r="D695" s="5" t="s">
        <v>114</v>
      </c>
      <c r="E695" s="5" t="s">
        <v>110</v>
      </c>
      <c r="F695" s="5" t="n">
        <v>0</v>
      </c>
      <c r="G695" s="5" t="n">
        <v>0</v>
      </c>
      <c r="H695" s="5" t="n">
        <f aca="false">G695-F695</f>
        <v>0</v>
      </c>
      <c r="I695" s="5" t="n">
        <f aca="false">ABS(H695)</f>
        <v>0</v>
      </c>
      <c r="J695" s="5" t="n">
        <f aca="false">IF(I695=0,1,0)</f>
        <v>1</v>
      </c>
      <c r="K695" s="5" t="n">
        <f aca="false">IF(I695&lt;=1,1,0)</f>
        <v>1</v>
      </c>
      <c r="L695" s="5" t="s">
        <v>71</v>
      </c>
      <c r="M695" s="5" t="s">
        <v>348</v>
      </c>
    </row>
    <row r="696" customFormat="false" ht="15" hidden="false" customHeight="false" outlineLevel="0" collapsed="false">
      <c r="A696" s="5" t="s">
        <v>54</v>
      </c>
      <c r="B696" s="5" t="s">
        <v>55</v>
      </c>
      <c r="C696" s="5" t="s">
        <v>100</v>
      </c>
      <c r="D696" s="5" t="s">
        <v>114</v>
      </c>
      <c r="E696" s="5" t="s">
        <v>237</v>
      </c>
      <c r="F696" s="5" t="n">
        <v>3</v>
      </c>
      <c r="G696" s="5" t="n">
        <v>3</v>
      </c>
      <c r="H696" s="5" t="n">
        <f aca="false">G696-F696</f>
        <v>0</v>
      </c>
      <c r="I696" s="5" t="n">
        <f aca="false">ABS(H696)</f>
        <v>0</v>
      </c>
      <c r="J696" s="5" t="n">
        <f aca="false">IF(I696=0,1,0)</f>
        <v>1</v>
      </c>
      <c r="K696" s="5" t="n">
        <f aca="false">IF(I696&lt;=1,1,0)</f>
        <v>1</v>
      </c>
      <c r="L696" s="5" t="s">
        <v>71</v>
      </c>
      <c r="M696" s="5" t="s">
        <v>348</v>
      </c>
    </row>
    <row r="697" customFormat="false" ht="15" hidden="false" customHeight="false" outlineLevel="0" collapsed="false">
      <c r="A697" s="16" t="s">
        <v>54</v>
      </c>
      <c r="B697" s="16" t="s">
        <v>55</v>
      </c>
      <c r="C697" s="16" t="s">
        <v>100</v>
      </c>
      <c r="D697" s="16" t="s">
        <v>114</v>
      </c>
      <c r="E697" s="16" t="s">
        <v>346</v>
      </c>
      <c r="F697" s="16" t="n">
        <v>0</v>
      </c>
      <c r="G697" s="16" t="n">
        <v>3</v>
      </c>
      <c r="H697" s="16" t="n">
        <f aca="false">G697-F697</f>
        <v>3</v>
      </c>
      <c r="I697" s="16" t="n">
        <f aca="false">ABS(H697)</f>
        <v>3</v>
      </c>
      <c r="J697" s="16" t="n">
        <f aca="false">IF(I697=0,1,0)</f>
        <v>0</v>
      </c>
      <c r="K697" s="16" t="n">
        <f aca="false">IF(I697&lt;=1,1,0)</f>
        <v>0</v>
      </c>
      <c r="L697" s="16" t="s">
        <v>76</v>
      </c>
      <c r="M697" s="16" t="s">
        <v>348</v>
      </c>
    </row>
    <row r="698" customFormat="false" ht="15" hidden="false" customHeight="false" outlineLevel="0" collapsed="false">
      <c r="A698" s="16" t="s">
        <v>54</v>
      </c>
      <c r="B698" s="16" t="s">
        <v>55</v>
      </c>
      <c r="C698" s="16" t="s">
        <v>100</v>
      </c>
      <c r="D698" s="16" t="s">
        <v>114</v>
      </c>
      <c r="E698" s="16" t="s">
        <v>238</v>
      </c>
      <c r="F698" s="16" t="n">
        <v>0</v>
      </c>
      <c r="G698" s="16" t="n">
        <v>1</v>
      </c>
      <c r="H698" s="16" t="n">
        <f aca="false">G698-F698</f>
        <v>1</v>
      </c>
      <c r="I698" s="16" t="n">
        <f aca="false">ABS(H698)</f>
        <v>1</v>
      </c>
      <c r="J698" s="16" t="n">
        <f aca="false">IF(I698=0,1,0)</f>
        <v>0</v>
      </c>
      <c r="K698" s="16" t="n">
        <f aca="false">IF(I698&lt;=1,1,0)</f>
        <v>1</v>
      </c>
      <c r="L698" s="16" t="s">
        <v>76</v>
      </c>
      <c r="M698" s="16" t="s">
        <v>348</v>
      </c>
    </row>
    <row r="699" customFormat="false" ht="15" hidden="false" customHeight="false" outlineLevel="0" collapsed="false">
      <c r="A699" s="16" t="s">
        <v>54</v>
      </c>
      <c r="B699" s="16" t="s">
        <v>55</v>
      </c>
      <c r="C699" s="16" t="s">
        <v>100</v>
      </c>
      <c r="D699" s="16" t="s">
        <v>114</v>
      </c>
      <c r="E699" s="16" t="s">
        <v>112</v>
      </c>
      <c r="F699" s="16" t="n">
        <v>0</v>
      </c>
      <c r="G699" s="16" t="n">
        <v>1</v>
      </c>
      <c r="H699" s="16" t="n">
        <f aca="false">G699-F699</f>
        <v>1</v>
      </c>
      <c r="I699" s="16" t="n">
        <f aca="false">ABS(H699)</f>
        <v>1</v>
      </c>
      <c r="J699" s="16" t="n">
        <f aca="false">IF(I699=0,1,0)</f>
        <v>0</v>
      </c>
      <c r="K699" s="16" t="n">
        <f aca="false">IF(I699&lt;=1,1,0)</f>
        <v>1</v>
      </c>
      <c r="L699" s="16" t="s">
        <v>76</v>
      </c>
      <c r="M699" s="16" t="s">
        <v>348</v>
      </c>
    </row>
    <row r="700" customFormat="false" ht="15" hidden="false" customHeight="false" outlineLevel="0" collapsed="false">
      <c r="A700" s="16" t="s">
        <v>54</v>
      </c>
      <c r="B700" s="16" t="s">
        <v>55</v>
      </c>
      <c r="C700" s="16" t="s">
        <v>100</v>
      </c>
      <c r="D700" s="16" t="s">
        <v>114</v>
      </c>
      <c r="E700" s="16" t="s">
        <v>347</v>
      </c>
      <c r="F700" s="16" t="n">
        <v>0</v>
      </c>
      <c r="G700" s="16" t="n">
        <v>1</v>
      </c>
      <c r="H700" s="16" t="n">
        <f aca="false">G700-F700</f>
        <v>1</v>
      </c>
      <c r="I700" s="16" t="n">
        <f aca="false">ABS(H700)</f>
        <v>1</v>
      </c>
      <c r="J700" s="16" t="n">
        <f aca="false">IF(I700=0,1,0)</f>
        <v>0</v>
      </c>
      <c r="K700" s="16" t="n">
        <f aca="false">IF(I700&lt;=1,1,0)</f>
        <v>1</v>
      </c>
      <c r="L700" s="16" t="s">
        <v>76</v>
      </c>
      <c r="M700" s="16" t="s">
        <v>348</v>
      </c>
    </row>
    <row r="701" customFormat="false" ht="15" hidden="false" customHeight="false" outlineLevel="0" collapsed="false">
      <c r="A701" s="16" t="s">
        <v>54</v>
      </c>
      <c r="B701" s="16" t="s">
        <v>55</v>
      </c>
      <c r="C701" s="16" t="s">
        <v>100</v>
      </c>
      <c r="D701" s="16" t="s">
        <v>114</v>
      </c>
      <c r="E701" s="16" t="s">
        <v>113</v>
      </c>
      <c r="F701" s="16" t="n">
        <v>0</v>
      </c>
      <c r="G701" s="16" t="n">
        <v>3</v>
      </c>
      <c r="H701" s="16" t="n">
        <f aca="false">G701-F701</f>
        <v>3</v>
      </c>
      <c r="I701" s="16" t="n">
        <f aca="false">ABS(H701)</f>
        <v>3</v>
      </c>
      <c r="J701" s="16" t="n">
        <f aca="false">IF(I701=0,1,0)</f>
        <v>0</v>
      </c>
      <c r="K701" s="16" t="n">
        <f aca="false">IF(I701&lt;=1,1,0)</f>
        <v>0</v>
      </c>
      <c r="L701" s="16" t="s">
        <v>76</v>
      </c>
      <c r="M701" s="16" t="s">
        <v>348</v>
      </c>
    </row>
    <row r="702" customFormat="false" ht="15" hidden="false" customHeight="false" outlineLevel="0" collapsed="false">
      <c r="A702" s="5" t="s">
        <v>54</v>
      </c>
      <c r="B702" s="5" t="s">
        <v>55</v>
      </c>
      <c r="C702" s="5" t="s">
        <v>116</v>
      </c>
      <c r="D702" s="5" t="s">
        <v>69</v>
      </c>
      <c r="E702" s="5" t="s">
        <v>349</v>
      </c>
      <c r="F702" s="5" t="n">
        <v>3</v>
      </c>
      <c r="G702" s="5" t="n">
        <v>3</v>
      </c>
      <c r="H702" s="5" t="n">
        <f aca="false">G702-F702</f>
        <v>0</v>
      </c>
      <c r="I702" s="5" t="n">
        <f aca="false">ABS(H702)</f>
        <v>0</v>
      </c>
      <c r="J702" s="5" t="n">
        <f aca="false">IF(I702=0,1,0)</f>
        <v>1</v>
      </c>
      <c r="K702" s="5" t="n">
        <f aca="false">IF(I702&lt;=1,1,0)</f>
        <v>1</v>
      </c>
      <c r="L702" s="5" t="s">
        <v>71</v>
      </c>
      <c r="M702" s="5" t="s">
        <v>350</v>
      </c>
    </row>
    <row r="703" customFormat="false" ht="15" hidden="false" customHeight="false" outlineLevel="0" collapsed="false">
      <c r="A703" s="5" t="s">
        <v>54</v>
      </c>
      <c r="B703" s="5" t="s">
        <v>55</v>
      </c>
      <c r="C703" s="5" t="s">
        <v>116</v>
      </c>
      <c r="D703" s="5" t="s">
        <v>69</v>
      </c>
      <c r="E703" s="5" t="s">
        <v>117</v>
      </c>
      <c r="F703" s="5" t="n">
        <v>3</v>
      </c>
      <c r="G703" s="5" t="n">
        <v>3</v>
      </c>
      <c r="H703" s="5" t="n">
        <f aca="false">G703-F703</f>
        <v>0</v>
      </c>
      <c r="I703" s="5" t="n">
        <f aca="false">ABS(H703)</f>
        <v>0</v>
      </c>
      <c r="J703" s="5" t="n">
        <f aca="false">IF(I703=0,1,0)</f>
        <v>1</v>
      </c>
      <c r="K703" s="5" t="n">
        <f aca="false">IF(I703&lt;=1,1,0)</f>
        <v>1</v>
      </c>
      <c r="L703" s="5" t="s">
        <v>71</v>
      </c>
      <c r="M703" s="5" t="s">
        <v>350</v>
      </c>
    </row>
    <row r="704" customFormat="false" ht="15" hidden="false" customHeight="false" outlineLevel="0" collapsed="false">
      <c r="A704" s="5" t="s">
        <v>54</v>
      </c>
      <c r="B704" s="5" t="s">
        <v>55</v>
      </c>
      <c r="C704" s="5" t="s">
        <v>116</v>
      </c>
      <c r="D704" s="5" t="s">
        <v>69</v>
      </c>
      <c r="E704" s="5" t="s">
        <v>119</v>
      </c>
      <c r="F704" s="5" t="n">
        <v>3</v>
      </c>
      <c r="G704" s="5" t="n">
        <v>3</v>
      </c>
      <c r="H704" s="5" t="n">
        <f aca="false">G704-F704</f>
        <v>0</v>
      </c>
      <c r="I704" s="5" t="n">
        <f aca="false">ABS(H704)</f>
        <v>0</v>
      </c>
      <c r="J704" s="5" t="n">
        <f aca="false">IF(I704=0,1,0)</f>
        <v>1</v>
      </c>
      <c r="K704" s="5" t="n">
        <f aca="false">IF(I704&lt;=1,1,0)</f>
        <v>1</v>
      </c>
      <c r="L704" s="5" t="s">
        <v>71</v>
      </c>
      <c r="M704" s="5" t="s">
        <v>350</v>
      </c>
    </row>
    <row r="705" customFormat="false" ht="15" hidden="false" customHeight="false" outlineLevel="0" collapsed="false">
      <c r="A705" s="5" t="s">
        <v>54</v>
      </c>
      <c r="B705" s="5" t="s">
        <v>55</v>
      </c>
      <c r="C705" s="5" t="s">
        <v>116</v>
      </c>
      <c r="D705" s="5" t="s">
        <v>69</v>
      </c>
      <c r="E705" s="5" t="s">
        <v>120</v>
      </c>
      <c r="F705" s="5" t="n">
        <v>3</v>
      </c>
      <c r="G705" s="5" t="n">
        <v>3</v>
      </c>
      <c r="H705" s="5" t="n">
        <f aca="false">G705-F705</f>
        <v>0</v>
      </c>
      <c r="I705" s="5" t="n">
        <f aca="false">ABS(H705)</f>
        <v>0</v>
      </c>
      <c r="J705" s="5" t="n">
        <f aca="false">IF(I705=0,1,0)</f>
        <v>1</v>
      </c>
      <c r="K705" s="5" t="n">
        <f aca="false">IF(I705&lt;=1,1,0)</f>
        <v>1</v>
      </c>
      <c r="L705" s="5" t="s">
        <v>71</v>
      </c>
      <c r="M705" s="5" t="s">
        <v>350</v>
      </c>
    </row>
    <row r="706" customFormat="false" ht="15" hidden="false" customHeight="false" outlineLevel="0" collapsed="false">
      <c r="A706" s="5" t="s">
        <v>54</v>
      </c>
      <c r="B706" s="5" t="s">
        <v>55</v>
      </c>
      <c r="C706" s="5" t="s">
        <v>116</v>
      </c>
      <c r="D706" s="5" t="s">
        <v>69</v>
      </c>
      <c r="E706" s="5" t="s">
        <v>122</v>
      </c>
      <c r="F706" s="5" t="n">
        <v>3</v>
      </c>
      <c r="G706" s="5" t="n">
        <v>3</v>
      </c>
      <c r="H706" s="5" t="n">
        <f aca="false">G706-F706</f>
        <v>0</v>
      </c>
      <c r="I706" s="5" t="n">
        <f aca="false">ABS(H706)</f>
        <v>0</v>
      </c>
      <c r="J706" s="5" t="n">
        <f aca="false">IF(I706=0,1,0)</f>
        <v>1</v>
      </c>
      <c r="K706" s="5" t="n">
        <f aca="false">IF(I706&lt;=1,1,0)</f>
        <v>1</v>
      </c>
      <c r="L706" s="5" t="s">
        <v>71</v>
      </c>
      <c r="M706" s="5" t="s">
        <v>350</v>
      </c>
    </row>
    <row r="707" customFormat="false" ht="15" hidden="false" customHeight="false" outlineLevel="0" collapsed="false">
      <c r="A707" s="16" t="s">
        <v>54</v>
      </c>
      <c r="B707" s="16" t="s">
        <v>55</v>
      </c>
      <c r="C707" s="16" t="s">
        <v>116</v>
      </c>
      <c r="D707" s="16" t="s">
        <v>114</v>
      </c>
      <c r="E707" s="16" t="s">
        <v>123</v>
      </c>
      <c r="F707" s="16" t="n">
        <v>2</v>
      </c>
      <c r="G707" s="16" t="n">
        <v>3</v>
      </c>
      <c r="H707" s="16" t="n">
        <f aca="false">G707-F707</f>
        <v>1</v>
      </c>
      <c r="I707" s="16" t="n">
        <f aca="false">ABS(H707)</f>
        <v>1</v>
      </c>
      <c r="J707" s="16" t="n">
        <f aca="false">IF(I707=0,1,0)</f>
        <v>0</v>
      </c>
      <c r="K707" s="16" t="n">
        <f aca="false">IF(I707&lt;=1,1,0)</f>
        <v>1</v>
      </c>
      <c r="L707" s="16" t="s">
        <v>76</v>
      </c>
      <c r="M707" s="16" t="s">
        <v>351</v>
      </c>
    </row>
    <row r="708" customFormat="false" ht="15" hidden="false" customHeight="false" outlineLevel="0" collapsed="false">
      <c r="A708" s="5" t="s">
        <v>54</v>
      </c>
      <c r="B708" s="5" t="s">
        <v>55</v>
      </c>
      <c r="C708" s="5" t="s">
        <v>116</v>
      </c>
      <c r="D708" s="5" t="s">
        <v>114</v>
      </c>
      <c r="E708" s="5" t="s">
        <v>125</v>
      </c>
      <c r="F708" s="5" t="n">
        <v>3</v>
      </c>
      <c r="G708" s="5" t="n">
        <v>3</v>
      </c>
      <c r="H708" s="5" t="n">
        <f aca="false">G708-F708</f>
        <v>0</v>
      </c>
      <c r="I708" s="5" t="n">
        <f aca="false">ABS(H708)</f>
        <v>0</v>
      </c>
      <c r="J708" s="5" t="n">
        <f aca="false">IF(I708=0,1,0)</f>
        <v>1</v>
      </c>
      <c r="K708" s="5" t="n">
        <f aca="false">IF(I708&lt;=1,1,0)</f>
        <v>1</v>
      </c>
      <c r="L708" s="5" t="s">
        <v>71</v>
      </c>
      <c r="M708" s="5" t="s">
        <v>351</v>
      </c>
    </row>
    <row r="709" customFormat="false" ht="15" hidden="false" customHeight="false" outlineLevel="0" collapsed="false">
      <c r="A709" s="5" t="s">
        <v>54</v>
      </c>
      <c r="B709" s="5" t="s">
        <v>55</v>
      </c>
      <c r="C709" s="5" t="s">
        <v>116</v>
      </c>
      <c r="D709" s="5" t="s">
        <v>114</v>
      </c>
      <c r="E709" s="5" t="s">
        <v>126</v>
      </c>
      <c r="F709" s="5" t="n">
        <v>3</v>
      </c>
      <c r="G709" s="5" t="n">
        <v>3</v>
      </c>
      <c r="H709" s="5" t="n">
        <f aca="false">G709-F709</f>
        <v>0</v>
      </c>
      <c r="I709" s="5" t="n">
        <f aca="false">ABS(H709)</f>
        <v>0</v>
      </c>
      <c r="J709" s="5" t="n">
        <f aca="false">IF(I709=0,1,0)</f>
        <v>1</v>
      </c>
      <c r="K709" s="5" t="n">
        <f aca="false">IF(I709&lt;=1,1,0)</f>
        <v>1</v>
      </c>
      <c r="L709" s="5" t="s">
        <v>71</v>
      </c>
      <c r="M709" s="5" t="s">
        <v>351</v>
      </c>
    </row>
    <row r="710" customFormat="false" ht="15" hidden="false" customHeight="false" outlineLevel="0" collapsed="false">
      <c r="A710" s="5" t="s">
        <v>54</v>
      </c>
      <c r="B710" s="5" t="s">
        <v>55</v>
      </c>
      <c r="C710" s="5" t="s">
        <v>116</v>
      </c>
      <c r="D710" s="5" t="s">
        <v>114</v>
      </c>
      <c r="E710" s="5" t="s">
        <v>127</v>
      </c>
      <c r="F710" s="5" t="n">
        <v>3</v>
      </c>
      <c r="G710" s="5" t="n">
        <v>3</v>
      </c>
      <c r="H710" s="5" t="n">
        <f aca="false">G710-F710</f>
        <v>0</v>
      </c>
      <c r="I710" s="5" t="n">
        <f aca="false">ABS(H710)</f>
        <v>0</v>
      </c>
      <c r="J710" s="5" t="n">
        <f aca="false">IF(I710=0,1,0)</f>
        <v>1</v>
      </c>
      <c r="K710" s="5" t="n">
        <f aca="false">IF(I710&lt;=1,1,0)</f>
        <v>1</v>
      </c>
      <c r="L710" s="5" t="s">
        <v>71</v>
      </c>
      <c r="M710" s="5" t="s">
        <v>351</v>
      </c>
    </row>
    <row r="711" customFormat="false" ht="15" hidden="false" customHeight="false" outlineLevel="0" collapsed="false">
      <c r="A711" s="16" t="s">
        <v>54</v>
      </c>
      <c r="B711" s="16" t="s">
        <v>55</v>
      </c>
      <c r="C711" s="16" t="s">
        <v>116</v>
      </c>
      <c r="D711" s="16" t="s">
        <v>114</v>
      </c>
      <c r="E711" s="16" t="s">
        <v>128</v>
      </c>
      <c r="F711" s="16" t="n">
        <v>2</v>
      </c>
      <c r="G711" s="16" t="n">
        <v>3</v>
      </c>
      <c r="H711" s="16" t="n">
        <f aca="false">G711-F711</f>
        <v>1</v>
      </c>
      <c r="I711" s="16" t="n">
        <f aca="false">ABS(H711)</f>
        <v>1</v>
      </c>
      <c r="J711" s="16" t="n">
        <f aca="false">IF(I711=0,1,0)</f>
        <v>0</v>
      </c>
      <c r="K711" s="16" t="n">
        <f aca="false">IF(I711&lt;=1,1,0)</f>
        <v>1</v>
      </c>
      <c r="L711" s="16" t="s">
        <v>76</v>
      </c>
      <c r="M711" s="16" t="s">
        <v>351</v>
      </c>
    </row>
    <row r="712" customFormat="false" ht="15" hidden="false" customHeight="false" outlineLevel="0" collapsed="false">
      <c r="A712" s="16" t="s">
        <v>54</v>
      </c>
      <c r="B712" s="16" t="s">
        <v>55</v>
      </c>
      <c r="C712" s="16" t="s">
        <v>116</v>
      </c>
      <c r="D712" s="16" t="s">
        <v>129</v>
      </c>
      <c r="E712" s="16" t="s">
        <v>130</v>
      </c>
      <c r="F712" s="16" t="n">
        <v>2</v>
      </c>
      <c r="G712" s="16" t="n">
        <v>3</v>
      </c>
      <c r="H712" s="16" t="n">
        <f aca="false">G712-F712</f>
        <v>1</v>
      </c>
      <c r="I712" s="16" t="n">
        <f aca="false">ABS(H712)</f>
        <v>1</v>
      </c>
      <c r="J712" s="16" t="n">
        <f aca="false">IF(I712=0,1,0)</f>
        <v>0</v>
      </c>
      <c r="K712" s="16" t="n">
        <f aca="false">IF(I712&lt;=1,1,0)</f>
        <v>1</v>
      </c>
      <c r="L712" s="16" t="s">
        <v>76</v>
      </c>
      <c r="M712" s="16" t="s">
        <v>352</v>
      </c>
    </row>
    <row r="713" customFormat="false" ht="15" hidden="false" customHeight="false" outlineLevel="0" collapsed="false">
      <c r="A713" s="5" t="s">
        <v>54</v>
      </c>
      <c r="B713" s="5" t="s">
        <v>55</v>
      </c>
      <c r="C713" s="5" t="s">
        <v>116</v>
      </c>
      <c r="D713" s="5" t="s">
        <v>129</v>
      </c>
      <c r="E713" s="5" t="s">
        <v>132</v>
      </c>
      <c r="F713" s="5" t="n">
        <v>2</v>
      </c>
      <c r="G713" s="5" t="n">
        <v>2</v>
      </c>
      <c r="H713" s="5" t="n">
        <f aca="false">G713-F713</f>
        <v>0</v>
      </c>
      <c r="I713" s="5" t="n">
        <f aca="false">ABS(H713)</f>
        <v>0</v>
      </c>
      <c r="J713" s="5" t="n">
        <f aca="false">IF(I713=0,1,0)</f>
        <v>1</v>
      </c>
      <c r="K713" s="5" t="n">
        <f aca="false">IF(I713&lt;=1,1,0)</f>
        <v>1</v>
      </c>
      <c r="L713" s="5" t="s">
        <v>71</v>
      </c>
      <c r="M713" s="5" t="s">
        <v>352</v>
      </c>
    </row>
    <row r="714" customFormat="false" ht="15" hidden="false" customHeight="false" outlineLevel="0" collapsed="false">
      <c r="A714" s="5" t="s">
        <v>54</v>
      </c>
      <c r="B714" s="5" t="s">
        <v>55</v>
      </c>
      <c r="C714" s="5" t="s">
        <v>116</v>
      </c>
      <c r="D714" s="5" t="s">
        <v>129</v>
      </c>
      <c r="E714" s="5" t="s">
        <v>133</v>
      </c>
      <c r="F714" s="5" t="n">
        <v>1</v>
      </c>
      <c r="G714" s="5" t="n">
        <v>1</v>
      </c>
      <c r="H714" s="5" t="n">
        <f aca="false">G714-F714</f>
        <v>0</v>
      </c>
      <c r="I714" s="5" t="n">
        <f aca="false">ABS(H714)</f>
        <v>0</v>
      </c>
      <c r="J714" s="5" t="n">
        <f aca="false">IF(I714=0,1,0)</f>
        <v>1</v>
      </c>
      <c r="K714" s="5" t="n">
        <f aca="false">IF(I714&lt;=1,1,0)</f>
        <v>1</v>
      </c>
      <c r="L714" s="5" t="s">
        <v>71</v>
      </c>
      <c r="M714" s="5" t="s">
        <v>352</v>
      </c>
    </row>
    <row r="715" customFormat="false" ht="15" hidden="false" customHeight="false" outlineLevel="0" collapsed="false">
      <c r="A715" s="5" t="s">
        <v>54</v>
      </c>
      <c r="B715" s="5" t="s">
        <v>55</v>
      </c>
      <c r="C715" s="5" t="s">
        <v>116</v>
      </c>
      <c r="D715" s="5" t="s">
        <v>129</v>
      </c>
      <c r="E715" s="5" t="s">
        <v>134</v>
      </c>
      <c r="F715" s="5" t="n">
        <v>3</v>
      </c>
      <c r="G715" s="5" t="n">
        <v>3</v>
      </c>
      <c r="H715" s="5" t="n">
        <f aca="false">G715-F715</f>
        <v>0</v>
      </c>
      <c r="I715" s="5" t="n">
        <f aca="false">ABS(H715)</f>
        <v>0</v>
      </c>
      <c r="J715" s="5" t="n">
        <f aca="false">IF(I715=0,1,0)</f>
        <v>1</v>
      </c>
      <c r="K715" s="5" t="n">
        <f aca="false">IF(I715&lt;=1,1,0)</f>
        <v>1</v>
      </c>
      <c r="L715" s="5" t="s">
        <v>71</v>
      </c>
      <c r="M715" s="5" t="s">
        <v>352</v>
      </c>
    </row>
    <row r="716" customFormat="false" ht="15" hidden="false" customHeight="false" outlineLevel="0" collapsed="false">
      <c r="A716" s="5" t="s">
        <v>54</v>
      </c>
      <c r="B716" s="5" t="s">
        <v>55</v>
      </c>
      <c r="C716" s="5" t="s">
        <v>116</v>
      </c>
      <c r="D716" s="5" t="s">
        <v>129</v>
      </c>
      <c r="E716" s="5" t="s">
        <v>135</v>
      </c>
      <c r="F716" s="5" t="n">
        <v>3</v>
      </c>
      <c r="G716" s="5" t="n">
        <v>3</v>
      </c>
      <c r="H716" s="5" t="n">
        <f aca="false">G716-F716</f>
        <v>0</v>
      </c>
      <c r="I716" s="5" t="n">
        <f aca="false">ABS(H716)</f>
        <v>0</v>
      </c>
      <c r="J716" s="5" t="n">
        <f aca="false">IF(I716=0,1,0)</f>
        <v>1</v>
      </c>
      <c r="K716" s="5" t="n">
        <f aca="false">IF(I716&lt;=1,1,0)</f>
        <v>1</v>
      </c>
      <c r="L716" s="5" t="s">
        <v>71</v>
      </c>
      <c r="M716" s="5" t="s">
        <v>352</v>
      </c>
    </row>
    <row r="717" customFormat="false" ht="15" hidden="false" customHeight="false" outlineLevel="0" collapsed="false">
      <c r="A717" s="5" t="s">
        <v>54</v>
      </c>
      <c r="B717" s="5" t="s">
        <v>55</v>
      </c>
      <c r="C717" s="5" t="s">
        <v>116</v>
      </c>
      <c r="D717" s="5" t="s">
        <v>129</v>
      </c>
      <c r="E717" s="5" t="s">
        <v>127</v>
      </c>
      <c r="F717" s="5" t="n">
        <v>3</v>
      </c>
      <c r="G717" s="5" t="n">
        <v>3</v>
      </c>
      <c r="H717" s="5" t="n">
        <f aca="false">G717-F717</f>
        <v>0</v>
      </c>
      <c r="I717" s="5" t="n">
        <f aca="false">ABS(H717)</f>
        <v>0</v>
      </c>
      <c r="J717" s="5" t="n">
        <f aca="false">IF(I717=0,1,0)</f>
        <v>1</v>
      </c>
      <c r="K717" s="5" t="n">
        <f aca="false">IF(I717&lt;=1,1,0)</f>
        <v>1</v>
      </c>
      <c r="L717" s="5" t="s">
        <v>71</v>
      </c>
      <c r="M717" s="5" t="s">
        <v>352</v>
      </c>
    </row>
    <row r="718" customFormat="false" ht="15" hidden="false" customHeight="false" outlineLevel="0" collapsed="false">
      <c r="A718" s="5" t="s">
        <v>54</v>
      </c>
      <c r="B718" s="5" t="s">
        <v>55</v>
      </c>
      <c r="C718" s="5" t="s">
        <v>116</v>
      </c>
      <c r="D718" s="5" t="s">
        <v>129</v>
      </c>
      <c r="E718" s="5" t="s">
        <v>136</v>
      </c>
      <c r="F718" s="5" t="n">
        <v>3</v>
      </c>
      <c r="G718" s="5" t="n">
        <v>3</v>
      </c>
      <c r="H718" s="5" t="n">
        <f aca="false">G718-F718</f>
        <v>0</v>
      </c>
      <c r="I718" s="5" t="n">
        <f aca="false">ABS(H718)</f>
        <v>0</v>
      </c>
      <c r="J718" s="5" t="n">
        <f aca="false">IF(I718=0,1,0)</f>
        <v>1</v>
      </c>
      <c r="K718" s="5" t="n">
        <f aca="false">IF(I718&lt;=1,1,0)</f>
        <v>1</v>
      </c>
      <c r="L718" s="5" t="s">
        <v>71</v>
      </c>
      <c r="M718" s="5" t="s">
        <v>352</v>
      </c>
    </row>
    <row r="719" customFormat="false" ht="15" hidden="false" customHeight="false" outlineLevel="0" collapsed="false">
      <c r="A719" s="5" t="s">
        <v>54</v>
      </c>
      <c r="B719" s="5" t="s">
        <v>55</v>
      </c>
      <c r="C719" s="5" t="s">
        <v>116</v>
      </c>
      <c r="D719" s="5" t="s">
        <v>129</v>
      </c>
      <c r="E719" s="5" t="s">
        <v>137</v>
      </c>
      <c r="F719" s="5" t="n">
        <v>3</v>
      </c>
      <c r="G719" s="5" t="n">
        <v>3</v>
      </c>
      <c r="H719" s="5" t="n">
        <f aca="false">G719-F719</f>
        <v>0</v>
      </c>
      <c r="I719" s="5" t="n">
        <f aca="false">ABS(H719)</f>
        <v>0</v>
      </c>
      <c r="J719" s="5" t="n">
        <f aca="false">IF(I719=0,1,0)</f>
        <v>1</v>
      </c>
      <c r="K719" s="5" t="n">
        <f aca="false">IF(I719&lt;=1,1,0)</f>
        <v>1</v>
      </c>
      <c r="L719" s="5" t="s">
        <v>71</v>
      </c>
      <c r="M719" s="5" t="s">
        <v>352</v>
      </c>
    </row>
    <row r="720" customFormat="false" ht="15" hidden="false" customHeight="false" outlineLevel="0" collapsed="false">
      <c r="A720" s="5" t="s">
        <v>54</v>
      </c>
      <c r="B720" s="5" t="s">
        <v>55</v>
      </c>
      <c r="C720" s="5" t="s">
        <v>116</v>
      </c>
      <c r="D720" s="5" t="s">
        <v>138</v>
      </c>
      <c r="E720" s="5" t="s">
        <v>139</v>
      </c>
      <c r="F720" s="5" t="n">
        <v>3</v>
      </c>
      <c r="G720" s="5" t="n">
        <v>3</v>
      </c>
      <c r="H720" s="5" t="n">
        <f aca="false">G720-F720</f>
        <v>0</v>
      </c>
      <c r="I720" s="5" t="n">
        <f aca="false">ABS(H720)</f>
        <v>0</v>
      </c>
      <c r="J720" s="5" t="n">
        <f aca="false">IF(I720=0,1,0)</f>
        <v>1</v>
      </c>
      <c r="K720" s="5" t="n">
        <f aca="false">IF(I720&lt;=1,1,0)</f>
        <v>1</v>
      </c>
      <c r="L720" s="5" t="s">
        <v>71</v>
      </c>
      <c r="M720" s="5" t="s">
        <v>353</v>
      </c>
    </row>
    <row r="721" customFormat="false" ht="15" hidden="false" customHeight="false" outlineLevel="0" collapsed="false">
      <c r="A721" s="5" t="s">
        <v>54</v>
      </c>
      <c r="B721" s="5" t="s">
        <v>55</v>
      </c>
      <c r="C721" s="5" t="s">
        <v>116</v>
      </c>
      <c r="D721" s="5" t="s">
        <v>138</v>
      </c>
      <c r="E721" s="5" t="s">
        <v>141</v>
      </c>
      <c r="F721" s="5" t="n">
        <v>3</v>
      </c>
      <c r="G721" s="5" t="n">
        <v>3</v>
      </c>
      <c r="H721" s="5" t="n">
        <f aca="false">G721-F721</f>
        <v>0</v>
      </c>
      <c r="I721" s="5" t="n">
        <f aca="false">ABS(H721)</f>
        <v>0</v>
      </c>
      <c r="J721" s="5" t="n">
        <f aca="false">IF(I721=0,1,0)</f>
        <v>1</v>
      </c>
      <c r="K721" s="5" t="n">
        <f aca="false">IF(I721&lt;=1,1,0)</f>
        <v>1</v>
      </c>
      <c r="L721" s="5" t="s">
        <v>71</v>
      </c>
      <c r="M721" s="5" t="s">
        <v>353</v>
      </c>
    </row>
    <row r="722" customFormat="false" ht="15" hidden="false" customHeight="false" outlineLevel="0" collapsed="false">
      <c r="A722" s="5" t="s">
        <v>54</v>
      </c>
      <c r="B722" s="5" t="s">
        <v>55</v>
      </c>
      <c r="C722" s="5" t="s">
        <v>116</v>
      </c>
      <c r="D722" s="5" t="s">
        <v>138</v>
      </c>
      <c r="E722" s="5" t="s">
        <v>142</v>
      </c>
      <c r="F722" s="5" t="n">
        <v>2</v>
      </c>
      <c r="G722" s="5" t="n">
        <v>2</v>
      </c>
      <c r="H722" s="5" t="n">
        <f aca="false">G722-F722</f>
        <v>0</v>
      </c>
      <c r="I722" s="5" t="n">
        <f aca="false">ABS(H722)</f>
        <v>0</v>
      </c>
      <c r="J722" s="5" t="n">
        <f aca="false">IF(I722=0,1,0)</f>
        <v>1</v>
      </c>
      <c r="K722" s="5" t="n">
        <f aca="false">IF(I722&lt;=1,1,0)</f>
        <v>1</v>
      </c>
      <c r="L722" s="5" t="s">
        <v>71</v>
      </c>
      <c r="M722" s="5" t="s">
        <v>353</v>
      </c>
    </row>
    <row r="723" customFormat="false" ht="15" hidden="false" customHeight="false" outlineLevel="0" collapsed="false">
      <c r="A723" s="5" t="s">
        <v>54</v>
      </c>
      <c r="B723" s="5" t="s">
        <v>55</v>
      </c>
      <c r="C723" s="5" t="s">
        <v>116</v>
      </c>
      <c r="D723" s="5" t="s">
        <v>138</v>
      </c>
      <c r="E723" s="5" t="s">
        <v>143</v>
      </c>
      <c r="F723" s="5" t="n">
        <v>2</v>
      </c>
      <c r="G723" s="5" t="n">
        <v>2</v>
      </c>
      <c r="H723" s="5" t="n">
        <f aca="false">G723-F723</f>
        <v>0</v>
      </c>
      <c r="I723" s="5" t="n">
        <f aca="false">ABS(H723)</f>
        <v>0</v>
      </c>
      <c r="J723" s="5" t="n">
        <f aca="false">IF(I723=0,1,0)</f>
        <v>1</v>
      </c>
      <c r="K723" s="5" t="n">
        <f aca="false">IF(I723&lt;=1,1,0)</f>
        <v>1</v>
      </c>
      <c r="L723" s="5" t="s">
        <v>71</v>
      </c>
      <c r="M723" s="5" t="s">
        <v>353</v>
      </c>
    </row>
    <row r="724" customFormat="false" ht="15" hidden="false" customHeight="false" outlineLevel="0" collapsed="false">
      <c r="A724" s="5" t="s">
        <v>54</v>
      </c>
      <c r="B724" s="5" t="s">
        <v>55</v>
      </c>
      <c r="C724" s="5" t="s">
        <v>116</v>
      </c>
      <c r="D724" s="5" t="s">
        <v>138</v>
      </c>
      <c r="E724" s="5" t="s">
        <v>144</v>
      </c>
      <c r="F724" s="5" t="n">
        <v>3</v>
      </c>
      <c r="G724" s="5" t="n">
        <v>3</v>
      </c>
      <c r="H724" s="5" t="n">
        <f aca="false">G724-F724</f>
        <v>0</v>
      </c>
      <c r="I724" s="5" t="n">
        <f aca="false">ABS(H724)</f>
        <v>0</v>
      </c>
      <c r="J724" s="5" t="n">
        <f aca="false">IF(I724=0,1,0)</f>
        <v>1</v>
      </c>
      <c r="K724" s="5" t="n">
        <f aca="false">IF(I724&lt;=1,1,0)</f>
        <v>1</v>
      </c>
      <c r="L724" s="5" t="s">
        <v>71</v>
      </c>
      <c r="M724" s="5" t="s">
        <v>353</v>
      </c>
    </row>
    <row r="725" customFormat="false" ht="15" hidden="false" customHeight="false" outlineLevel="0" collapsed="false">
      <c r="A725" s="5" t="s">
        <v>54</v>
      </c>
      <c r="B725" s="5" t="s">
        <v>55</v>
      </c>
      <c r="C725" s="5" t="s">
        <v>116</v>
      </c>
      <c r="D725" s="5" t="s">
        <v>138</v>
      </c>
      <c r="E725" s="5" t="s">
        <v>127</v>
      </c>
      <c r="F725" s="5" t="n">
        <v>3</v>
      </c>
      <c r="G725" s="5" t="n">
        <v>3</v>
      </c>
      <c r="H725" s="5" t="n">
        <f aca="false">G725-F725</f>
        <v>0</v>
      </c>
      <c r="I725" s="5" t="n">
        <f aca="false">ABS(H725)</f>
        <v>0</v>
      </c>
      <c r="J725" s="5" t="n">
        <f aca="false">IF(I725=0,1,0)</f>
        <v>1</v>
      </c>
      <c r="K725" s="5" t="n">
        <f aca="false">IF(I725&lt;=1,1,0)</f>
        <v>1</v>
      </c>
      <c r="L725" s="5" t="s">
        <v>71</v>
      </c>
      <c r="M725" s="5" t="s">
        <v>353</v>
      </c>
    </row>
    <row r="726" customFormat="false" ht="15" hidden="false" customHeight="false" outlineLevel="0" collapsed="false">
      <c r="A726" s="5" t="s">
        <v>54</v>
      </c>
      <c r="B726" s="5" t="s">
        <v>55</v>
      </c>
      <c r="C726" s="5" t="s">
        <v>145</v>
      </c>
      <c r="D726" s="5" t="s">
        <v>69</v>
      </c>
      <c r="E726" s="5" t="s">
        <v>146</v>
      </c>
      <c r="F726" s="5" t="n">
        <v>3</v>
      </c>
      <c r="G726" s="5" t="n">
        <v>3</v>
      </c>
      <c r="H726" s="5" t="n">
        <f aca="false">G726-F726</f>
        <v>0</v>
      </c>
      <c r="I726" s="5" t="n">
        <f aca="false">ABS(H726)</f>
        <v>0</v>
      </c>
      <c r="J726" s="5" t="n">
        <f aca="false">IF(I726=0,1,0)</f>
        <v>1</v>
      </c>
      <c r="K726" s="5" t="n">
        <f aca="false">IF(I726&lt;=1,1,0)</f>
        <v>1</v>
      </c>
      <c r="L726" s="5" t="s">
        <v>71</v>
      </c>
      <c r="M726" s="5" t="s">
        <v>354</v>
      </c>
    </row>
    <row r="727" customFormat="false" ht="15" hidden="false" customHeight="false" outlineLevel="0" collapsed="false">
      <c r="A727" s="5" t="s">
        <v>54</v>
      </c>
      <c r="B727" s="5" t="s">
        <v>55</v>
      </c>
      <c r="C727" s="5" t="s">
        <v>145</v>
      </c>
      <c r="D727" s="5" t="s">
        <v>69</v>
      </c>
      <c r="E727" s="5" t="s">
        <v>117</v>
      </c>
      <c r="F727" s="5" t="n">
        <v>3</v>
      </c>
      <c r="G727" s="5" t="n">
        <v>3</v>
      </c>
      <c r="H727" s="5" t="n">
        <f aca="false">G727-F727</f>
        <v>0</v>
      </c>
      <c r="I727" s="5" t="n">
        <f aca="false">ABS(H727)</f>
        <v>0</v>
      </c>
      <c r="J727" s="5" t="n">
        <f aca="false">IF(I727=0,1,0)</f>
        <v>1</v>
      </c>
      <c r="K727" s="5" t="n">
        <f aca="false">IF(I727&lt;=1,1,0)</f>
        <v>1</v>
      </c>
      <c r="L727" s="5" t="s">
        <v>71</v>
      </c>
      <c r="M727" s="5" t="s">
        <v>354</v>
      </c>
    </row>
    <row r="728" customFormat="false" ht="15" hidden="false" customHeight="false" outlineLevel="0" collapsed="false">
      <c r="A728" s="5" t="s">
        <v>54</v>
      </c>
      <c r="B728" s="5" t="s">
        <v>55</v>
      </c>
      <c r="C728" s="5" t="s">
        <v>145</v>
      </c>
      <c r="D728" s="5" t="s">
        <v>69</v>
      </c>
      <c r="E728" s="5" t="s">
        <v>148</v>
      </c>
      <c r="F728" s="5" t="n">
        <v>3</v>
      </c>
      <c r="G728" s="5" t="n">
        <v>3</v>
      </c>
      <c r="H728" s="5" t="n">
        <f aca="false">G728-F728</f>
        <v>0</v>
      </c>
      <c r="I728" s="5" t="n">
        <f aca="false">ABS(H728)</f>
        <v>0</v>
      </c>
      <c r="J728" s="5" t="n">
        <f aca="false">IF(I728=0,1,0)</f>
        <v>1</v>
      </c>
      <c r="K728" s="5" t="n">
        <f aca="false">IF(I728&lt;=1,1,0)</f>
        <v>1</v>
      </c>
      <c r="L728" s="5" t="s">
        <v>71</v>
      </c>
      <c r="M728" s="5" t="s">
        <v>354</v>
      </c>
    </row>
    <row r="729" customFormat="false" ht="15" hidden="false" customHeight="false" outlineLevel="0" collapsed="false">
      <c r="A729" s="5" t="s">
        <v>54</v>
      </c>
      <c r="B729" s="5" t="s">
        <v>55</v>
      </c>
      <c r="C729" s="5" t="s">
        <v>145</v>
      </c>
      <c r="D729" s="5" t="s">
        <v>69</v>
      </c>
      <c r="E729" s="5" t="s">
        <v>149</v>
      </c>
      <c r="F729" s="5" t="n">
        <v>3</v>
      </c>
      <c r="G729" s="5" t="n">
        <v>3</v>
      </c>
      <c r="H729" s="5" t="n">
        <f aca="false">G729-F729</f>
        <v>0</v>
      </c>
      <c r="I729" s="5" t="n">
        <f aca="false">ABS(H729)</f>
        <v>0</v>
      </c>
      <c r="J729" s="5" t="n">
        <f aca="false">IF(I729=0,1,0)</f>
        <v>1</v>
      </c>
      <c r="K729" s="5" t="n">
        <f aca="false">IF(I729&lt;=1,1,0)</f>
        <v>1</v>
      </c>
      <c r="L729" s="5" t="s">
        <v>71</v>
      </c>
      <c r="M729" s="5" t="s">
        <v>354</v>
      </c>
    </row>
    <row r="730" customFormat="false" ht="15" hidden="false" customHeight="false" outlineLevel="0" collapsed="false">
      <c r="A730" s="5" t="s">
        <v>54</v>
      </c>
      <c r="B730" s="5" t="s">
        <v>55</v>
      </c>
      <c r="C730" s="5" t="s">
        <v>145</v>
      </c>
      <c r="D730" s="5" t="s">
        <v>114</v>
      </c>
      <c r="E730" s="5" t="s">
        <v>150</v>
      </c>
      <c r="F730" s="5" t="n">
        <v>3</v>
      </c>
      <c r="G730" s="5" t="n">
        <v>3</v>
      </c>
      <c r="H730" s="5" t="n">
        <f aca="false">G730-F730</f>
        <v>0</v>
      </c>
      <c r="I730" s="5" t="n">
        <f aca="false">ABS(H730)</f>
        <v>0</v>
      </c>
      <c r="J730" s="5" t="n">
        <f aca="false">IF(I730=0,1,0)</f>
        <v>1</v>
      </c>
      <c r="K730" s="5" t="n">
        <f aca="false">IF(I730&lt;=1,1,0)</f>
        <v>1</v>
      </c>
      <c r="L730" s="5" t="s">
        <v>71</v>
      </c>
      <c r="M730" s="5" t="s">
        <v>355</v>
      </c>
    </row>
    <row r="731" customFormat="false" ht="15" hidden="false" customHeight="false" outlineLevel="0" collapsed="false">
      <c r="A731" s="16" t="s">
        <v>54</v>
      </c>
      <c r="B731" s="16" t="s">
        <v>55</v>
      </c>
      <c r="C731" s="16" t="s">
        <v>145</v>
      </c>
      <c r="D731" s="16" t="s">
        <v>114</v>
      </c>
      <c r="E731" s="16" t="s">
        <v>152</v>
      </c>
      <c r="F731" s="16" t="n">
        <v>2</v>
      </c>
      <c r="G731" s="16" t="n">
        <v>3</v>
      </c>
      <c r="H731" s="16" t="n">
        <f aca="false">G731-F731</f>
        <v>1</v>
      </c>
      <c r="I731" s="16" t="n">
        <f aca="false">ABS(H731)</f>
        <v>1</v>
      </c>
      <c r="J731" s="16" t="n">
        <f aca="false">IF(I731=0,1,0)</f>
        <v>0</v>
      </c>
      <c r="K731" s="16" t="n">
        <f aca="false">IF(I731&lt;=1,1,0)</f>
        <v>1</v>
      </c>
      <c r="L731" s="16" t="s">
        <v>76</v>
      </c>
      <c r="M731" s="16" t="s">
        <v>355</v>
      </c>
    </row>
    <row r="732" customFormat="false" ht="15" hidden="false" customHeight="false" outlineLevel="0" collapsed="false">
      <c r="A732" s="5" t="s">
        <v>54</v>
      </c>
      <c r="B732" s="5" t="s">
        <v>55</v>
      </c>
      <c r="C732" s="5" t="s">
        <v>145</v>
      </c>
      <c r="D732" s="5" t="s">
        <v>114</v>
      </c>
      <c r="E732" s="5" t="s">
        <v>153</v>
      </c>
      <c r="F732" s="5" t="n">
        <v>2</v>
      </c>
      <c r="G732" s="5" t="n">
        <v>2</v>
      </c>
      <c r="H732" s="5" t="n">
        <f aca="false">G732-F732</f>
        <v>0</v>
      </c>
      <c r="I732" s="5" t="n">
        <f aca="false">ABS(H732)</f>
        <v>0</v>
      </c>
      <c r="J732" s="5" t="n">
        <f aca="false">IF(I732=0,1,0)</f>
        <v>1</v>
      </c>
      <c r="K732" s="5" t="n">
        <f aca="false">IF(I732&lt;=1,1,0)</f>
        <v>1</v>
      </c>
      <c r="L732" s="5" t="s">
        <v>71</v>
      </c>
      <c r="M732" s="5" t="s">
        <v>355</v>
      </c>
    </row>
    <row r="733" customFormat="false" ht="15" hidden="false" customHeight="false" outlineLevel="0" collapsed="false">
      <c r="A733" s="5" t="s">
        <v>54</v>
      </c>
      <c r="B733" s="5" t="s">
        <v>55</v>
      </c>
      <c r="C733" s="5" t="s">
        <v>145</v>
      </c>
      <c r="D733" s="5" t="s">
        <v>114</v>
      </c>
      <c r="E733" s="5" t="s">
        <v>154</v>
      </c>
      <c r="F733" s="5" t="n">
        <v>3</v>
      </c>
      <c r="G733" s="5" t="n">
        <v>3</v>
      </c>
      <c r="H733" s="5" t="n">
        <f aca="false">G733-F733</f>
        <v>0</v>
      </c>
      <c r="I733" s="5" t="n">
        <f aca="false">ABS(H733)</f>
        <v>0</v>
      </c>
      <c r="J733" s="5" t="n">
        <f aca="false">IF(I733=0,1,0)</f>
        <v>1</v>
      </c>
      <c r="K733" s="5" t="n">
        <f aca="false">IF(I733&lt;=1,1,0)</f>
        <v>1</v>
      </c>
      <c r="L733" s="5" t="s">
        <v>71</v>
      </c>
      <c r="M733" s="5" t="s">
        <v>355</v>
      </c>
    </row>
    <row r="734" customFormat="false" ht="15" hidden="false" customHeight="false" outlineLevel="0" collapsed="false">
      <c r="A734" s="16" t="s">
        <v>54</v>
      </c>
      <c r="B734" s="16" t="s">
        <v>55</v>
      </c>
      <c r="C734" s="16" t="s">
        <v>145</v>
      </c>
      <c r="D734" s="16" t="s">
        <v>114</v>
      </c>
      <c r="E734" s="16" t="s">
        <v>155</v>
      </c>
      <c r="F734" s="16" t="n">
        <v>2</v>
      </c>
      <c r="G734" s="16" t="n">
        <v>3</v>
      </c>
      <c r="H734" s="16" t="n">
        <f aca="false">G734-F734</f>
        <v>1</v>
      </c>
      <c r="I734" s="16" t="n">
        <f aca="false">ABS(H734)</f>
        <v>1</v>
      </c>
      <c r="J734" s="16" t="n">
        <f aca="false">IF(I734=0,1,0)</f>
        <v>0</v>
      </c>
      <c r="K734" s="16" t="n">
        <f aca="false">IF(I734&lt;=1,1,0)</f>
        <v>1</v>
      </c>
      <c r="L734" s="16" t="s">
        <v>76</v>
      </c>
      <c r="M734" s="16" t="s">
        <v>355</v>
      </c>
    </row>
    <row r="735" customFormat="false" ht="15" hidden="false" customHeight="false" outlineLevel="0" collapsed="false">
      <c r="A735" s="5" t="s">
        <v>54</v>
      </c>
      <c r="B735" s="5" t="s">
        <v>55</v>
      </c>
      <c r="C735" s="5" t="s">
        <v>145</v>
      </c>
      <c r="D735" s="5" t="s">
        <v>156</v>
      </c>
      <c r="E735" s="5" t="s">
        <v>157</v>
      </c>
      <c r="F735" s="5" t="n">
        <v>3</v>
      </c>
      <c r="G735" s="5" t="n">
        <v>3</v>
      </c>
      <c r="H735" s="5" t="n">
        <f aca="false">G735-F735</f>
        <v>0</v>
      </c>
      <c r="I735" s="5" t="n">
        <f aca="false">ABS(H735)</f>
        <v>0</v>
      </c>
      <c r="J735" s="5" t="n">
        <f aca="false">IF(I735=0,1,0)</f>
        <v>1</v>
      </c>
      <c r="K735" s="5" t="n">
        <f aca="false">IF(I735&lt;=1,1,0)</f>
        <v>1</v>
      </c>
      <c r="L735" s="5" t="s">
        <v>71</v>
      </c>
      <c r="M735" s="5" t="s">
        <v>356</v>
      </c>
    </row>
    <row r="736" customFormat="false" ht="15" hidden="false" customHeight="false" outlineLevel="0" collapsed="false">
      <c r="A736" s="5" t="s">
        <v>54</v>
      </c>
      <c r="B736" s="5" t="s">
        <v>55</v>
      </c>
      <c r="C736" s="5" t="s">
        <v>145</v>
      </c>
      <c r="D736" s="5" t="s">
        <v>156</v>
      </c>
      <c r="E736" s="5" t="s">
        <v>159</v>
      </c>
      <c r="F736" s="5" t="n">
        <v>2</v>
      </c>
      <c r="G736" s="5" t="n">
        <v>2</v>
      </c>
      <c r="H736" s="5" t="n">
        <f aca="false">G736-F736</f>
        <v>0</v>
      </c>
      <c r="I736" s="5" t="n">
        <f aca="false">ABS(H736)</f>
        <v>0</v>
      </c>
      <c r="J736" s="5" t="n">
        <f aca="false">IF(I736=0,1,0)</f>
        <v>1</v>
      </c>
      <c r="K736" s="5" t="n">
        <f aca="false">IF(I736&lt;=1,1,0)</f>
        <v>1</v>
      </c>
      <c r="L736" s="5" t="s">
        <v>71</v>
      </c>
      <c r="M736" s="5" t="s">
        <v>356</v>
      </c>
    </row>
    <row r="737" customFormat="false" ht="15" hidden="false" customHeight="false" outlineLevel="0" collapsed="false">
      <c r="A737" s="5" t="s">
        <v>54</v>
      </c>
      <c r="B737" s="5" t="s">
        <v>55</v>
      </c>
      <c r="C737" s="5" t="s">
        <v>145</v>
      </c>
      <c r="D737" s="5" t="s">
        <v>156</v>
      </c>
      <c r="E737" s="5" t="s">
        <v>160</v>
      </c>
      <c r="F737" s="5" t="n">
        <v>2</v>
      </c>
      <c r="G737" s="5" t="n">
        <v>2</v>
      </c>
      <c r="H737" s="5" t="n">
        <f aca="false">G737-F737</f>
        <v>0</v>
      </c>
      <c r="I737" s="5" t="n">
        <f aca="false">ABS(H737)</f>
        <v>0</v>
      </c>
      <c r="J737" s="5" t="n">
        <f aca="false">IF(I737=0,1,0)</f>
        <v>1</v>
      </c>
      <c r="K737" s="5" t="n">
        <f aca="false">IF(I737&lt;=1,1,0)</f>
        <v>1</v>
      </c>
      <c r="L737" s="5" t="s">
        <v>71</v>
      </c>
      <c r="M737" s="5" t="s">
        <v>356</v>
      </c>
    </row>
    <row r="738" customFormat="false" ht="15" hidden="false" customHeight="false" outlineLevel="0" collapsed="false">
      <c r="A738" s="5" t="s">
        <v>54</v>
      </c>
      <c r="B738" s="5" t="s">
        <v>55</v>
      </c>
      <c r="C738" s="5" t="s">
        <v>145</v>
      </c>
      <c r="D738" s="5" t="s">
        <v>156</v>
      </c>
      <c r="E738" s="5" t="s">
        <v>161</v>
      </c>
      <c r="F738" s="5" t="n">
        <v>3</v>
      </c>
      <c r="G738" s="5" t="n">
        <v>3</v>
      </c>
      <c r="H738" s="5" t="n">
        <f aca="false">G738-F738</f>
        <v>0</v>
      </c>
      <c r="I738" s="5" t="n">
        <f aca="false">ABS(H738)</f>
        <v>0</v>
      </c>
      <c r="J738" s="5" t="n">
        <f aca="false">IF(I738=0,1,0)</f>
        <v>1</v>
      </c>
      <c r="K738" s="5" t="n">
        <f aca="false">IF(I738&lt;=1,1,0)</f>
        <v>1</v>
      </c>
      <c r="L738" s="5" t="s">
        <v>71</v>
      </c>
      <c r="M738" s="5" t="s">
        <v>356</v>
      </c>
    </row>
    <row r="739" customFormat="false" ht="15" hidden="false" customHeight="false" outlineLevel="0" collapsed="false">
      <c r="A739" s="5" t="s">
        <v>54</v>
      </c>
      <c r="B739" s="5" t="s">
        <v>55</v>
      </c>
      <c r="C739" s="5" t="s">
        <v>145</v>
      </c>
      <c r="D739" s="5" t="s">
        <v>156</v>
      </c>
      <c r="E739" s="5" t="s">
        <v>162</v>
      </c>
      <c r="F739" s="5" t="n">
        <v>3</v>
      </c>
      <c r="G739" s="5" t="n">
        <v>3</v>
      </c>
      <c r="H739" s="5" t="n">
        <f aca="false">G739-F739</f>
        <v>0</v>
      </c>
      <c r="I739" s="5" t="n">
        <f aca="false">ABS(H739)</f>
        <v>0</v>
      </c>
      <c r="J739" s="5" t="n">
        <f aca="false">IF(I739=0,1,0)</f>
        <v>1</v>
      </c>
      <c r="K739" s="5" t="n">
        <f aca="false">IF(I739&lt;=1,1,0)</f>
        <v>1</v>
      </c>
      <c r="L739" s="5" t="s">
        <v>71</v>
      </c>
      <c r="M739" s="5" t="s">
        <v>356</v>
      </c>
    </row>
    <row r="740" customFormat="false" ht="15" hidden="false" customHeight="false" outlineLevel="0" collapsed="false">
      <c r="A740" s="5" t="s">
        <v>54</v>
      </c>
      <c r="B740" s="5" t="s">
        <v>55</v>
      </c>
      <c r="C740" s="5" t="s">
        <v>145</v>
      </c>
      <c r="D740" s="5" t="s">
        <v>163</v>
      </c>
      <c r="E740" s="5" t="s">
        <v>164</v>
      </c>
      <c r="F740" s="5" t="n">
        <v>3</v>
      </c>
      <c r="G740" s="5" t="n">
        <v>3</v>
      </c>
      <c r="H740" s="5" t="n">
        <f aca="false">G740-F740</f>
        <v>0</v>
      </c>
      <c r="I740" s="5" t="n">
        <f aca="false">ABS(H740)</f>
        <v>0</v>
      </c>
      <c r="J740" s="5" t="n">
        <f aca="false">IF(I740=0,1,0)</f>
        <v>1</v>
      </c>
      <c r="K740" s="5" t="n">
        <f aca="false">IF(I740&lt;=1,1,0)</f>
        <v>1</v>
      </c>
      <c r="L740" s="5" t="s">
        <v>71</v>
      </c>
      <c r="M740" s="5" t="s">
        <v>357</v>
      </c>
    </row>
    <row r="741" customFormat="false" ht="15" hidden="false" customHeight="false" outlineLevel="0" collapsed="false">
      <c r="A741" s="16" t="s">
        <v>54</v>
      </c>
      <c r="B741" s="16" t="s">
        <v>55</v>
      </c>
      <c r="C741" s="16" t="s">
        <v>145</v>
      </c>
      <c r="D741" s="16" t="s">
        <v>163</v>
      </c>
      <c r="E741" s="16" t="s">
        <v>166</v>
      </c>
      <c r="F741" s="16" t="n">
        <v>1</v>
      </c>
      <c r="G741" s="16" t="n">
        <v>3</v>
      </c>
      <c r="H741" s="16" t="n">
        <f aca="false">G741-F741</f>
        <v>2</v>
      </c>
      <c r="I741" s="16" t="n">
        <f aca="false">ABS(H741)</f>
        <v>2</v>
      </c>
      <c r="J741" s="16" t="n">
        <f aca="false">IF(I741=0,1,0)</f>
        <v>0</v>
      </c>
      <c r="K741" s="16" t="n">
        <f aca="false">IF(I741&lt;=1,1,0)</f>
        <v>0</v>
      </c>
      <c r="L741" s="16" t="s">
        <v>76</v>
      </c>
      <c r="M741" s="16" t="s">
        <v>357</v>
      </c>
    </row>
    <row r="742" customFormat="false" ht="15" hidden="false" customHeight="false" outlineLevel="0" collapsed="false">
      <c r="A742" s="5" t="s">
        <v>54</v>
      </c>
      <c r="B742" s="5" t="s">
        <v>55</v>
      </c>
      <c r="C742" s="5" t="s">
        <v>145</v>
      </c>
      <c r="D742" s="5" t="s">
        <v>163</v>
      </c>
      <c r="E742" s="5" t="s">
        <v>167</v>
      </c>
      <c r="F742" s="5" t="n">
        <v>3</v>
      </c>
      <c r="G742" s="5" t="n">
        <v>3</v>
      </c>
      <c r="H742" s="5" t="n">
        <f aca="false">G742-F742</f>
        <v>0</v>
      </c>
      <c r="I742" s="5" t="n">
        <f aca="false">ABS(H742)</f>
        <v>0</v>
      </c>
      <c r="J742" s="5" t="n">
        <f aca="false">IF(I742=0,1,0)</f>
        <v>1</v>
      </c>
      <c r="K742" s="5" t="n">
        <f aca="false">IF(I742&lt;=1,1,0)</f>
        <v>1</v>
      </c>
      <c r="L742" s="5" t="s">
        <v>71</v>
      </c>
      <c r="M742" s="5" t="s">
        <v>357</v>
      </c>
    </row>
    <row r="743" customFormat="false" ht="15" hidden="false" customHeight="false" outlineLevel="0" collapsed="false">
      <c r="A743" s="5" t="s">
        <v>54</v>
      </c>
      <c r="B743" s="5" t="s">
        <v>55</v>
      </c>
      <c r="C743" s="5" t="s">
        <v>145</v>
      </c>
      <c r="D743" s="5" t="s">
        <v>163</v>
      </c>
      <c r="E743" s="5" t="s">
        <v>168</v>
      </c>
      <c r="F743" s="5" t="n">
        <v>3</v>
      </c>
      <c r="G743" s="5" t="n">
        <v>3</v>
      </c>
      <c r="H743" s="5" t="n">
        <f aca="false">G743-F743</f>
        <v>0</v>
      </c>
      <c r="I743" s="5" t="n">
        <f aca="false">ABS(H743)</f>
        <v>0</v>
      </c>
      <c r="J743" s="5" t="n">
        <f aca="false">IF(I743=0,1,0)</f>
        <v>1</v>
      </c>
      <c r="K743" s="5" t="n">
        <f aca="false">IF(I743&lt;=1,1,0)</f>
        <v>1</v>
      </c>
      <c r="L743" s="5" t="s">
        <v>71</v>
      </c>
      <c r="M743" s="5" t="s">
        <v>357</v>
      </c>
    </row>
    <row r="744" customFormat="false" ht="15" hidden="false" customHeight="false" outlineLevel="0" collapsed="false">
      <c r="A744" s="16" t="s">
        <v>54</v>
      </c>
      <c r="B744" s="16" t="s">
        <v>55</v>
      </c>
      <c r="C744" s="16" t="s">
        <v>145</v>
      </c>
      <c r="D744" s="16" t="s">
        <v>163</v>
      </c>
      <c r="E744" s="16" t="s">
        <v>169</v>
      </c>
      <c r="F744" s="16" t="n">
        <v>2</v>
      </c>
      <c r="G744" s="16" t="n">
        <v>3</v>
      </c>
      <c r="H744" s="16" t="n">
        <f aca="false">G744-F744</f>
        <v>1</v>
      </c>
      <c r="I744" s="16" t="n">
        <f aca="false">ABS(H744)</f>
        <v>1</v>
      </c>
      <c r="J744" s="16" t="n">
        <f aca="false">IF(I744=0,1,0)</f>
        <v>0</v>
      </c>
      <c r="K744" s="16" t="n">
        <f aca="false">IF(I744&lt;=1,1,0)</f>
        <v>1</v>
      </c>
      <c r="L744" s="16" t="s">
        <v>76</v>
      </c>
      <c r="M744" s="16" t="s">
        <v>357</v>
      </c>
    </row>
    <row r="745" customFormat="false" ht="15" hidden="false" customHeight="false" outlineLevel="0" collapsed="false">
      <c r="A745" s="16" t="s">
        <v>54</v>
      </c>
      <c r="B745" s="16" t="s">
        <v>55</v>
      </c>
      <c r="C745" s="16" t="s">
        <v>170</v>
      </c>
      <c r="D745" s="16" t="s">
        <v>69</v>
      </c>
      <c r="E745" s="16" t="s">
        <v>171</v>
      </c>
      <c r="F745" s="16" t="n">
        <v>2</v>
      </c>
      <c r="G745" s="16" t="n">
        <v>3</v>
      </c>
      <c r="H745" s="16" t="n">
        <f aca="false">G745-F745</f>
        <v>1</v>
      </c>
      <c r="I745" s="16" t="n">
        <f aca="false">ABS(H745)</f>
        <v>1</v>
      </c>
      <c r="J745" s="16" t="n">
        <f aca="false">IF(I745=0,1,0)</f>
        <v>0</v>
      </c>
      <c r="K745" s="16" t="n">
        <f aca="false">IF(I745&lt;=1,1,0)</f>
        <v>1</v>
      </c>
      <c r="L745" s="16" t="s">
        <v>76</v>
      </c>
      <c r="M745" s="16" t="s">
        <v>358</v>
      </c>
    </row>
    <row r="746" customFormat="false" ht="15" hidden="false" customHeight="false" outlineLevel="0" collapsed="false">
      <c r="A746" s="5" t="s">
        <v>54</v>
      </c>
      <c r="B746" s="5" t="s">
        <v>55</v>
      </c>
      <c r="C746" s="5" t="s">
        <v>170</v>
      </c>
      <c r="D746" s="5" t="s">
        <v>69</v>
      </c>
      <c r="E746" s="5" t="s">
        <v>173</v>
      </c>
      <c r="F746" s="5" t="n">
        <v>3</v>
      </c>
      <c r="G746" s="5" t="n">
        <v>3</v>
      </c>
      <c r="H746" s="5" t="n">
        <f aca="false">G746-F746</f>
        <v>0</v>
      </c>
      <c r="I746" s="5" t="n">
        <f aca="false">ABS(H746)</f>
        <v>0</v>
      </c>
      <c r="J746" s="5" t="n">
        <f aca="false">IF(I746=0,1,0)</f>
        <v>1</v>
      </c>
      <c r="K746" s="5" t="n">
        <f aca="false">IF(I746&lt;=1,1,0)</f>
        <v>1</v>
      </c>
      <c r="L746" s="5" t="s">
        <v>71</v>
      </c>
      <c r="M746" s="5" t="s">
        <v>358</v>
      </c>
    </row>
    <row r="747" customFormat="false" ht="15" hidden="false" customHeight="false" outlineLevel="0" collapsed="false">
      <c r="A747" s="5" t="s">
        <v>54</v>
      </c>
      <c r="B747" s="5" t="s">
        <v>55</v>
      </c>
      <c r="C747" s="5" t="s">
        <v>170</v>
      </c>
      <c r="D747" s="5" t="s">
        <v>69</v>
      </c>
      <c r="E747" s="5" t="s">
        <v>174</v>
      </c>
      <c r="F747" s="5" t="n">
        <v>1</v>
      </c>
      <c r="G747" s="5" t="n">
        <v>1</v>
      </c>
      <c r="H747" s="5" t="n">
        <f aca="false">G747-F747</f>
        <v>0</v>
      </c>
      <c r="I747" s="5" t="n">
        <f aca="false">ABS(H747)</f>
        <v>0</v>
      </c>
      <c r="J747" s="5" t="n">
        <f aca="false">IF(I747=0,1,0)</f>
        <v>1</v>
      </c>
      <c r="K747" s="5" t="n">
        <f aca="false">IF(I747&lt;=1,1,0)</f>
        <v>1</v>
      </c>
      <c r="L747" s="5" t="s">
        <v>71</v>
      </c>
      <c r="M747" s="5" t="s">
        <v>358</v>
      </c>
    </row>
    <row r="748" customFormat="false" ht="15" hidden="false" customHeight="false" outlineLevel="0" collapsed="false">
      <c r="A748" s="5" t="s">
        <v>54</v>
      </c>
      <c r="B748" s="5" t="s">
        <v>55</v>
      </c>
      <c r="C748" s="5" t="s">
        <v>170</v>
      </c>
      <c r="D748" s="5" t="s">
        <v>107</v>
      </c>
      <c r="E748" s="5" t="s">
        <v>175</v>
      </c>
      <c r="F748" s="5" t="n">
        <v>1</v>
      </c>
      <c r="G748" s="5" t="n">
        <v>1</v>
      </c>
      <c r="H748" s="5" t="n">
        <f aca="false">G748-F748</f>
        <v>0</v>
      </c>
      <c r="I748" s="5" t="n">
        <f aca="false">ABS(H748)</f>
        <v>0</v>
      </c>
      <c r="J748" s="5" t="n">
        <f aca="false">IF(I748=0,1,0)</f>
        <v>1</v>
      </c>
      <c r="K748" s="5" t="n">
        <f aca="false">IF(I748&lt;=1,1,0)</f>
        <v>1</v>
      </c>
      <c r="L748" s="5" t="s">
        <v>71</v>
      </c>
      <c r="M748" s="5" t="s">
        <v>359</v>
      </c>
    </row>
    <row r="749" customFormat="false" ht="15" hidden="false" customHeight="false" outlineLevel="0" collapsed="false">
      <c r="A749" s="16" t="s">
        <v>54</v>
      </c>
      <c r="B749" s="16" t="s">
        <v>55</v>
      </c>
      <c r="C749" s="16" t="s">
        <v>170</v>
      </c>
      <c r="D749" s="16" t="s">
        <v>107</v>
      </c>
      <c r="E749" s="16" t="s">
        <v>177</v>
      </c>
      <c r="F749" s="16" t="n">
        <v>2</v>
      </c>
      <c r="G749" s="16" t="n">
        <v>0</v>
      </c>
      <c r="H749" s="16" t="n">
        <f aca="false">G749-F749</f>
        <v>-2</v>
      </c>
      <c r="I749" s="16" t="n">
        <f aca="false">ABS(H749)</f>
        <v>2</v>
      </c>
      <c r="J749" s="16" t="n">
        <f aca="false">IF(I749=0,1,0)</f>
        <v>0</v>
      </c>
      <c r="K749" s="16" t="n">
        <f aca="false">IF(I749&lt;=1,1,0)</f>
        <v>0</v>
      </c>
      <c r="L749" s="16" t="s">
        <v>76</v>
      </c>
      <c r="M749" s="16" t="s">
        <v>359</v>
      </c>
    </row>
    <row r="750" customFormat="false" ht="15" hidden="false" customHeight="false" outlineLevel="0" collapsed="false">
      <c r="A750" s="5" t="s">
        <v>54</v>
      </c>
      <c r="B750" s="5" t="s">
        <v>55</v>
      </c>
      <c r="C750" s="5" t="s">
        <v>170</v>
      </c>
      <c r="D750" s="5" t="s">
        <v>107</v>
      </c>
      <c r="E750" s="5" t="s">
        <v>178</v>
      </c>
      <c r="F750" s="5" t="n">
        <v>3</v>
      </c>
      <c r="G750" s="5" t="n">
        <v>3</v>
      </c>
      <c r="H750" s="5" t="n">
        <f aca="false">G750-F750</f>
        <v>0</v>
      </c>
      <c r="I750" s="5" t="n">
        <f aca="false">ABS(H750)</f>
        <v>0</v>
      </c>
      <c r="J750" s="5" t="n">
        <f aca="false">IF(I750=0,1,0)</f>
        <v>1</v>
      </c>
      <c r="K750" s="5" t="n">
        <f aca="false">IF(I750&lt;=1,1,0)</f>
        <v>1</v>
      </c>
      <c r="L750" s="5" t="s">
        <v>71</v>
      </c>
      <c r="M750" s="5" t="s">
        <v>359</v>
      </c>
    </row>
    <row r="751" customFormat="false" ht="15" hidden="false" customHeight="false" outlineLevel="0" collapsed="false">
      <c r="A751" s="16" t="s">
        <v>54</v>
      </c>
      <c r="B751" s="16" t="s">
        <v>55</v>
      </c>
      <c r="C751" s="16" t="s">
        <v>170</v>
      </c>
      <c r="D751" s="16" t="s">
        <v>107</v>
      </c>
      <c r="E751" s="16" t="s">
        <v>179</v>
      </c>
      <c r="F751" s="16" t="n">
        <v>2</v>
      </c>
      <c r="G751" s="16" t="n">
        <v>3</v>
      </c>
      <c r="H751" s="16" t="n">
        <f aca="false">G751-F751</f>
        <v>1</v>
      </c>
      <c r="I751" s="16" t="n">
        <f aca="false">ABS(H751)</f>
        <v>1</v>
      </c>
      <c r="J751" s="16" t="n">
        <f aca="false">IF(I751=0,1,0)</f>
        <v>0</v>
      </c>
      <c r="K751" s="16" t="n">
        <f aca="false">IF(I751&lt;=1,1,0)</f>
        <v>1</v>
      </c>
      <c r="L751" s="16" t="s">
        <v>76</v>
      </c>
      <c r="M751" s="16" t="s">
        <v>359</v>
      </c>
    </row>
    <row r="752" customFormat="false" ht="15" hidden="false" customHeight="false" outlineLevel="0" collapsed="false">
      <c r="A752" s="5" t="s">
        <v>54</v>
      </c>
      <c r="B752" s="5" t="s">
        <v>55</v>
      </c>
      <c r="C752" s="5" t="s">
        <v>170</v>
      </c>
      <c r="D752" s="5" t="s">
        <v>107</v>
      </c>
      <c r="E752" s="5" t="s">
        <v>180</v>
      </c>
      <c r="F752" s="5" t="n">
        <v>3</v>
      </c>
      <c r="G752" s="5" t="n">
        <v>3</v>
      </c>
      <c r="H752" s="5" t="n">
        <f aca="false">G752-F752</f>
        <v>0</v>
      </c>
      <c r="I752" s="5" t="n">
        <f aca="false">ABS(H752)</f>
        <v>0</v>
      </c>
      <c r="J752" s="5" t="n">
        <f aca="false">IF(I752=0,1,0)</f>
        <v>1</v>
      </c>
      <c r="K752" s="5" t="n">
        <f aca="false">IF(I752&lt;=1,1,0)</f>
        <v>1</v>
      </c>
      <c r="L752" s="5" t="s">
        <v>71</v>
      </c>
      <c r="M752" s="5" t="s">
        <v>359</v>
      </c>
    </row>
    <row r="753" customFormat="false" ht="15" hidden="false" customHeight="false" outlineLevel="0" collapsed="false">
      <c r="A753" s="5" t="s">
        <v>54</v>
      </c>
      <c r="B753" s="5" t="s">
        <v>55</v>
      </c>
      <c r="C753" s="5" t="s">
        <v>170</v>
      </c>
      <c r="D753" s="5" t="s">
        <v>107</v>
      </c>
      <c r="E753" s="5" t="s">
        <v>181</v>
      </c>
      <c r="F753" s="5" t="n">
        <v>3</v>
      </c>
      <c r="G753" s="5" t="n">
        <v>3</v>
      </c>
      <c r="H753" s="5" t="n">
        <f aca="false">G753-F753</f>
        <v>0</v>
      </c>
      <c r="I753" s="5" t="n">
        <f aca="false">ABS(H753)</f>
        <v>0</v>
      </c>
      <c r="J753" s="5" t="n">
        <f aca="false">IF(I753=0,1,0)</f>
        <v>1</v>
      </c>
      <c r="K753" s="5" t="n">
        <f aca="false">IF(I753&lt;=1,1,0)</f>
        <v>1</v>
      </c>
      <c r="L753" s="5" t="s">
        <v>71</v>
      </c>
      <c r="M753" s="5" t="s">
        <v>359</v>
      </c>
    </row>
    <row r="754" customFormat="false" ht="15" hidden="false" customHeight="false" outlineLevel="0" collapsed="false">
      <c r="A754" s="5" t="s">
        <v>54</v>
      </c>
      <c r="B754" s="5" t="s">
        <v>55</v>
      </c>
      <c r="C754" s="5" t="s">
        <v>170</v>
      </c>
      <c r="D754" s="5" t="s">
        <v>182</v>
      </c>
      <c r="E754" s="5" t="s">
        <v>183</v>
      </c>
      <c r="F754" s="5" t="n">
        <v>0</v>
      </c>
      <c r="G754" s="5" t="n">
        <v>0</v>
      </c>
      <c r="H754" s="5" t="n">
        <f aca="false">G754-F754</f>
        <v>0</v>
      </c>
      <c r="I754" s="5" t="n">
        <f aca="false">ABS(H754)</f>
        <v>0</v>
      </c>
      <c r="J754" s="5" t="n">
        <f aca="false">IF(I754=0,1,0)</f>
        <v>1</v>
      </c>
      <c r="K754" s="5" t="n">
        <f aca="false">IF(I754&lt;=1,1,0)</f>
        <v>1</v>
      </c>
      <c r="L754" s="5" t="s">
        <v>71</v>
      </c>
      <c r="M754" s="5" t="s">
        <v>360</v>
      </c>
    </row>
    <row r="755" customFormat="false" ht="15" hidden="false" customHeight="false" outlineLevel="0" collapsed="false">
      <c r="A755" s="16" t="s">
        <v>54</v>
      </c>
      <c r="B755" s="16" t="s">
        <v>55</v>
      </c>
      <c r="C755" s="16" t="s">
        <v>170</v>
      </c>
      <c r="D755" s="16" t="s">
        <v>182</v>
      </c>
      <c r="E755" s="16" t="s">
        <v>185</v>
      </c>
      <c r="F755" s="16" t="n">
        <v>2</v>
      </c>
      <c r="G755" s="16" t="n">
        <v>3</v>
      </c>
      <c r="H755" s="16" t="n">
        <f aca="false">G755-F755</f>
        <v>1</v>
      </c>
      <c r="I755" s="16" t="n">
        <f aca="false">ABS(H755)</f>
        <v>1</v>
      </c>
      <c r="J755" s="16" t="n">
        <f aca="false">IF(I755=0,1,0)</f>
        <v>0</v>
      </c>
      <c r="K755" s="16" t="n">
        <f aca="false">IF(I755&lt;=1,1,0)</f>
        <v>1</v>
      </c>
      <c r="L755" s="16" t="s">
        <v>76</v>
      </c>
      <c r="M755" s="16" t="s">
        <v>360</v>
      </c>
    </row>
    <row r="756" customFormat="false" ht="15" hidden="false" customHeight="false" outlineLevel="0" collapsed="false">
      <c r="A756" s="5" t="s">
        <v>54</v>
      </c>
      <c r="B756" s="5" t="s">
        <v>55</v>
      </c>
      <c r="C756" s="5" t="s">
        <v>170</v>
      </c>
      <c r="D756" s="5" t="s">
        <v>182</v>
      </c>
      <c r="E756" s="5" t="s">
        <v>186</v>
      </c>
      <c r="F756" s="5" t="n">
        <v>1</v>
      </c>
      <c r="G756" s="5" t="n">
        <v>1</v>
      </c>
      <c r="H756" s="5" t="n">
        <f aca="false">G756-F756</f>
        <v>0</v>
      </c>
      <c r="I756" s="5" t="n">
        <f aca="false">ABS(H756)</f>
        <v>0</v>
      </c>
      <c r="J756" s="5" t="n">
        <f aca="false">IF(I756=0,1,0)</f>
        <v>1</v>
      </c>
      <c r="K756" s="5" t="n">
        <f aca="false">IF(I756&lt;=1,1,0)</f>
        <v>1</v>
      </c>
      <c r="L756" s="5" t="s">
        <v>71</v>
      </c>
      <c r="M756" s="5" t="s">
        <v>360</v>
      </c>
    </row>
    <row r="757" customFormat="false" ht="15" hidden="false" customHeight="false" outlineLevel="0" collapsed="false">
      <c r="A757" s="5" t="s">
        <v>54</v>
      </c>
      <c r="B757" s="5" t="s">
        <v>55</v>
      </c>
      <c r="C757" s="5" t="s">
        <v>170</v>
      </c>
      <c r="D757" s="5" t="s">
        <v>182</v>
      </c>
      <c r="E757" s="5" t="s">
        <v>187</v>
      </c>
      <c r="F757" s="5" t="n">
        <v>1</v>
      </c>
      <c r="G757" s="5" t="n">
        <v>1</v>
      </c>
      <c r="H757" s="5" t="n">
        <f aca="false">G757-F757</f>
        <v>0</v>
      </c>
      <c r="I757" s="5" t="n">
        <f aca="false">ABS(H757)</f>
        <v>0</v>
      </c>
      <c r="J757" s="5" t="n">
        <f aca="false">IF(I757=0,1,0)</f>
        <v>1</v>
      </c>
      <c r="K757" s="5" t="n">
        <f aca="false">IF(I757&lt;=1,1,0)</f>
        <v>1</v>
      </c>
      <c r="L757" s="5" t="s">
        <v>71</v>
      </c>
      <c r="M757" s="5" t="s">
        <v>360</v>
      </c>
    </row>
    <row r="758" customFormat="false" ht="15" hidden="false" customHeight="false" outlineLevel="0" collapsed="false">
      <c r="A758" s="5" t="s">
        <v>54</v>
      </c>
      <c r="B758" s="5" t="s">
        <v>55</v>
      </c>
      <c r="C758" s="5" t="s">
        <v>170</v>
      </c>
      <c r="D758" s="5" t="s">
        <v>182</v>
      </c>
      <c r="E758" s="5" t="s">
        <v>188</v>
      </c>
      <c r="F758" s="5" t="n">
        <v>0</v>
      </c>
      <c r="G758" s="5" t="n">
        <v>0</v>
      </c>
      <c r="H758" s="5" t="n">
        <f aca="false">G758-F758</f>
        <v>0</v>
      </c>
      <c r="I758" s="5" t="n">
        <f aca="false">ABS(H758)</f>
        <v>0</v>
      </c>
      <c r="J758" s="5" t="n">
        <f aca="false">IF(I758=0,1,0)</f>
        <v>1</v>
      </c>
      <c r="K758" s="5" t="n">
        <f aca="false">IF(I758&lt;=1,1,0)</f>
        <v>1</v>
      </c>
      <c r="L758" s="5" t="s">
        <v>71</v>
      </c>
      <c r="M758" s="5" t="s">
        <v>360</v>
      </c>
    </row>
    <row r="759" customFormat="false" ht="15" hidden="false" customHeight="false" outlineLevel="0" collapsed="false">
      <c r="A759" s="5" t="s">
        <v>54</v>
      </c>
      <c r="B759" s="5" t="s">
        <v>55</v>
      </c>
      <c r="C759" s="5" t="s">
        <v>170</v>
      </c>
      <c r="D759" s="5" t="s">
        <v>114</v>
      </c>
      <c r="E759" s="5" t="s">
        <v>189</v>
      </c>
      <c r="F759" s="5" t="n">
        <v>0</v>
      </c>
      <c r="G759" s="5" t="n">
        <v>0</v>
      </c>
      <c r="H759" s="5" t="n">
        <f aca="false">G759-F759</f>
        <v>0</v>
      </c>
      <c r="I759" s="5" t="n">
        <f aca="false">ABS(H759)</f>
        <v>0</v>
      </c>
      <c r="J759" s="5" t="n">
        <f aca="false">IF(I759=0,1,0)</f>
        <v>1</v>
      </c>
      <c r="K759" s="5" t="n">
        <f aca="false">IF(I759&lt;=1,1,0)</f>
        <v>1</v>
      </c>
      <c r="L759" s="5" t="s">
        <v>71</v>
      </c>
      <c r="M759" s="5" t="s">
        <v>361</v>
      </c>
    </row>
    <row r="760" customFormat="false" ht="15" hidden="false" customHeight="false" outlineLevel="0" collapsed="false">
      <c r="A760" s="5" t="s">
        <v>54</v>
      </c>
      <c r="B760" s="5" t="s">
        <v>55</v>
      </c>
      <c r="C760" s="5" t="s">
        <v>170</v>
      </c>
      <c r="D760" s="5" t="s">
        <v>114</v>
      </c>
      <c r="E760" s="5" t="s">
        <v>191</v>
      </c>
      <c r="F760" s="5" t="n">
        <v>1</v>
      </c>
      <c r="G760" s="5" t="n">
        <v>1</v>
      </c>
      <c r="H760" s="5" t="n">
        <f aca="false">G760-F760</f>
        <v>0</v>
      </c>
      <c r="I760" s="5" t="n">
        <f aca="false">ABS(H760)</f>
        <v>0</v>
      </c>
      <c r="J760" s="5" t="n">
        <f aca="false">IF(I760=0,1,0)</f>
        <v>1</v>
      </c>
      <c r="K760" s="5" t="n">
        <f aca="false">IF(I760&lt;=1,1,0)</f>
        <v>1</v>
      </c>
      <c r="L760" s="5" t="s">
        <v>71</v>
      </c>
      <c r="M760" s="5" t="s">
        <v>361</v>
      </c>
    </row>
    <row r="761" customFormat="false" ht="15" hidden="false" customHeight="false" outlineLevel="0" collapsed="false">
      <c r="A761" s="5" t="s">
        <v>54</v>
      </c>
      <c r="B761" s="5" t="s">
        <v>55</v>
      </c>
      <c r="C761" s="5" t="s">
        <v>170</v>
      </c>
      <c r="D761" s="5" t="s">
        <v>114</v>
      </c>
      <c r="E761" s="5" t="s">
        <v>192</v>
      </c>
      <c r="F761" s="5" t="n">
        <v>0</v>
      </c>
      <c r="G761" s="5" t="n">
        <v>0</v>
      </c>
      <c r="H761" s="5" t="n">
        <f aca="false">G761-F761</f>
        <v>0</v>
      </c>
      <c r="I761" s="5" t="n">
        <f aca="false">ABS(H761)</f>
        <v>0</v>
      </c>
      <c r="J761" s="5" t="n">
        <f aca="false">IF(I761=0,1,0)</f>
        <v>1</v>
      </c>
      <c r="K761" s="5" t="n">
        <f aca="false">IF(I761&lt;=1,1,0)</f>
        <v>1</v>
      </c>
      <c r="L761" s="5" t="s">
        <v>71</v>
      </c>
      <c r="M761" s="5" t="s">
        <v>361</v>
      </c>
    </row>
    <row r="762" customFormat="false" ht="15" hidden="false" customHeight="false" outlineLevel="0" collapsed="false">
      <c r="A762" s="5" t="s">
        <v>54</v>
      </c>
      <c r="B762" s="5" t="s">
        <v>55</v>
      </c>
      <c r="C762" s="5" t="s">
        <v>170</v>
      </c>
      <c r="D762" s="5" t="s">
        <v>114</v>
      </c>
      <c r="E762" s="5" t="s">
        <v>193</v>
      </c>
      <c r="F762" s="5" t="n">
        <v>1</v>
      </c>
      <c r="G762" s="5" t="n">
        <v>1</v>
      </c>
      <c r="H762" s="5" t="n">
        <f aca="false">G762-F762</f>
        <v>0</v>
      </c>
      <c r="I762" s="5" t="n">
        <f aca="false">ABS(H762)</f>
        <v>0</v>
      </c>
      <c r="J762" s="5" t="n">
        <f aca="false">IF(I762=0,1,0)</f>
        <v>1</v>
      </c>
      <c r="K762" s="5" t="n">
        <f aca="false">IF(I762&lt;=1,1,0)</f>
        <v>1</v>
      </c>
      <c r="L762" s="5" t="s">
        <v>71</v>
      </c>
      <c r="M762" s="5" t="s">
        <v>361</v>
      </c>
    </row>
    <row r="763" customFormat="false" ht="15" hidden="false" customHeight="false" outlineLevel="0" collapsed="false">
      <c r="A763" s="16" t="s">
        <v>54</v>
      </c>
      <c r="B763" s="16" t="s">
        <v>55</v>
      </c>
      <c r="C763" s="16" t="s">
        <v>170</v>
      </c>
      <c r="D763" s="16" t="s">
        <v>114</v>
      </c>
      <c r="E763" s="16" t="s">
        <v>194</v>
      </c>
      <c r="F763" s="16" t="n">
        <v>2</v>
      </c>
      <c r="G763" s="16" t="n">
        <v>3</v>
      </c>
      <c r="H763" s="16" t="n">
        <f aca="false">G763-F763</f>
        <v>1</v>
      </c>
      <c r="I763" s="16" t="n">
        <f aca="false">ABS(H763)</f>
        <v>1</v>
      </c>
      <c r="J763" s="16" t="n">
        <f aca="false">IF(I763=0,1,0)</f>
        <v>0</v>
      </c>
      <c r="K763" s="16" t="n">
        <f aca="false">IF(I763&lt;=1,1,0)</f>
        <v>1</v>
      </c>
      <c r="L763" s="16" t="s">
        <v>76</v>
      </c>
      <c r="M763" s="16" t="s">
        <v>361</v>
      </c>
    </row>
    <row r="764" customFormat="false" ht="15" hidden="false" customHeight="false" outlineLevel="0" collapsed="false">
      <c r="A764" s="5" t="s">
        <v>54</v>
      </c>
      <c r="B764" s="5" t="s">
        <v>55</v>
      </c>
      <c r="C764" s="5" t="s">
        <v>195</v>
      </c>
      <c r="D764" s="5" t="s">
        <v>196</v>
      </c>
      <c r="E764" s="5" t="s">
        <v>197</v>
      </c>
      <c r="F764" s="5" t="n">
        <v>1</v>
      </c>
      <c r="G764" s="5" t="n">
        <v>1</v>
      </c>
      <c r="H764" s="5" t="n">
        <f aca="false">G764-F764</f>
        <v>0</v>
      </c>
      <c r="I764" s="5" t="n">
        <f aca="false">ABS(H764)</f>
        <v>0</v>
      </c>
      <c r="J764" s="5" t="n">
        <f aca="false">IF(I764=0,1,0)</f>
        <v>1</v>
      </c>
      <c r="K764" s="5" t="n">
        <f aca="false">IF(I764&lt;=1,1,0)</f>
        <v>1</v>
      </c>
      <c r="L764" s="5" t="s">
        <v>71</v>
      </c>
      <c r="M764" s="5" t="s">
        <v>362</v>
      </c>
    </row>
    <row r="765" customFormat="false" ht="15" hidden="false" customHeight="false" outlineLevel="0" collapsed="false">
      <c r="A765" s="5" t="s">
        <v>54</v>
      </c>
      <c r="B765" s="5" t="s">
        <v>55</v>
      </c>
      <c r="C765" s="5" t="s">
        <v>195</v>
      </c>
      <c r="D765" s="5" t="s">
        <v>196</v>
      </c>
      <c r="E765" s="5" t="s">
        <v>199</v>
      </c>
      <c r="F765" s="5" t="n">
        <v>1</v>
      </c>
      <c r="G765" s="5" t="n">
        <v>1</v>
      </c>
      <c r="H765" s="5" t="n">
        <f aca="false">G765-F765</f>
        <v>0</v>
      </c>
      <c r="I765" s="5" t="n">
        <f aca="false">ABS(H765)</f>
        <v>0</v>
      </c>
      <c r="J765" s="5" t="n">
        <f aca="false">IF(I765=0,1,0)</f>
        <v>1</v>
      </c>
      <c r="K765" s="5" t="n">
        <f aca="false">IF(I765&lt;=1,1,0)</f>
        <v>1</v>
      </c>
      <c r="L765" s="5" t="s">
        <v>71</v>
      </c>
      <c r="M765" s="5" t="s">
        <v>362</v>
      </c>
    </row>
    <row r="766" customFormat="false" ht="15" hidden="false" customHeight="false" outlineLevel="0" collapsed="false">
      <c r="A766" s="5" t="s">
        <v>54</v>
      </c>
      <c r="B766" s="5" t="s">
        <v>55</v>
      </c>
      <c r="C766" s="5" t="s">
        <v>195</v>
      </c>
      <c r="D766" s="5" t="s">
        <v>196</v>
      </c>
      <c r="E766" s="5" t="s">
        <v>200</v>
      </c>
      <c r="F766" s="5" t="n">
        <v>1</v>
      </c>
      <c r="G766" s="5" t="n">
        <v>1</v>
      </c>
      <c r="H766" s="5" t="n">
        <f aca="false">G766-F766</f>
        <v>0</v>
      </c>
      <c r="I766" s="5" t="n">
        <f aca="false">ABS(H766)</f>
        <v>0</v>
      </c>
      <c r="J766" s="5" t="n">
        <f aca="false">IF(I766=0,1,0)</f>
        <v>1</v>
      </c>
      <c r="K766" s="5" t="n">
        <f aca="false">IF(I766&lt;=1,1,0)</f>
        <v>1</v>
      </c>
      <c r="L766" s="5" t="s">
        <v>71</v>
      </c>
      <c r="M766" s="5" t="s">
        <v>362</v>
      </c>
    </row>
    <row r="767" customFormat="false" ht="15" hidden="false" customHeight="false" outlineLevel="0" collapsed="false">
      <c r="A767" s="5" t="s">
        <v>54</v>
      </c>
      <c r="B767" s="5" t="s">
        <v>55</v>
      </c>
      <c r="C767" s="5" t="s">
        <v>195</v>
      </c>
      <c r="D767" s="5" t="s">
        <v>196</v>
      </c>
      <c r="E767" s="5" t="s">
        <v>201</v>
      </c>
      <c r="F767" s="5" t="n">
        <v>0</v>
      </c>
      <c r="G767" s="5" t="n">
        <v>0</v>
      </c>
      <c r="H767" s="5" t="n">
        <f aca="false">G767-F767</f>
        <v>0</v>
      </c>
      <c r="I767" s="5" t="n">
        <f aca="false">ABS(H767)</f>
        <v>0</v>
      </c>
      <c r="J767" s="5" t="n">
        <f aca="false">IF(I767=0,1,0)</f>
        <v>1</v>
      </c>
      <c r="K767" s="5" t="n">
        <f aca="false">IF(I767&lt;=1,1,0)</f>
        <v>1</v>
      </c>
      <c r="L767" s="5" t="s">
        <v>71</v>
      </c>
      <c r="M767" s="5" t="s">
        <v>362</v>
      </c>
    </row>
    <row r="768" customFormat="false" ht="15" hidden="false" customHeight="false" outlineLevel="0" collapsed="false">
      <c r="A768" s="5" t="s">
        <v>54</v>
      </c>
      <c r="B768" s="5" t="s">
        <v>55</v>
      </c>
      <c r="C768" s="5" t="s">
        <v>195</v>
      </c>
      <c r="D768" s="5" t="s">
        <v>202</v>
      </c>
      <c r="E768" s="5" t="s">
        <v>203</v>
      </c>
      <c r="F768" s="5" t="n">
        <v>3</v>
      </c>
      <c r="G768" s="5" t="n">
        <v>3</v>
      </c>
      <c r="H768" s="5" t="n">
        <f aca="false">G768-F768</f>
        <v>0</v>
      </c>
      <c r="I768" s="5" t="n">
        <f aca="false">ABS(H768)</f>
        <v>0</v>
      </c>
      <c r="J768" s="5" t="n">
        <f aca="false">IF(I768=0,1,0)</f>
        <v>1</v>
      </c>
      <c r="K768" s="5" t="n">
        <f aca="false">IF(I768&lt;=1,1,0)</f>
        <v>1</v>
      </c>
      <c r="L768" s="5" t="s">
        <v>71</v>
      </c>
      <c r="M768" s="5" t="s">
        <v>363</v>
      </c>
    </row>
    <row r="769" customFormat="false" ht="15" hidden="false" customHeight="false" outlineLevel="0" collapsed="false">
      <c r="A769" s="16" t="s">
        <v>54</v>
      </c>
      <c r="B769" s="16" t="s">
        <v>55</v>
      </c>
      <c r="C769" s="16" t="s">
        <v>195</v>
      </c>
      <c r="D769" s="16" t="s">
        <v>202</v>
      </c>
      <c r="E769" s="16" t="s">
        <v>205</v>
      </c>
      <c r="F769" s="16" t="n">
        <v>2</v>
      </c>
      <c r="G769" s="16" t="n">
        <v>3</v>
      </c>
      <c r="H769" s="16" t="n">
        <f aca="false">G769-F769</f>
        <v>1</v>
      </c>
      <c r="I769" s="16" t="n">
        <f aca="false">ABS(H769)</f>
        <v>1</v>
      </c>
      <c r="J769" s="16" t="n">
        <f aca="false">IF(I769=0,1,0)</f>
        <v>0</v>
      </c>
      <c r="K769" s="16" t="n">
        <f aca="false">IF(I769&lt;=1,1,0)</f>
        <v>1</v>
      </c>
      <c r="L769" s="16" t="s">
        <v>76</v>
      </c>
      <c r="M769" s="16" t="s">
        <v>363</v>
      </c>
    </row>
    <row r="770" customFormat="false" ht="15" hidden="false" customHeight="false" outlineLevel="0" collapsed="false">
      <c r="A770" s="5" t="s">
        <v>54</v>
      </c>
      <c r="B770" s="5" t="s">
        <v>55</v>
      </c>
      <c r="C770" s="5" t="s">
        <v>195</v>
      </c>
      <c r="D770" s="5" t="s">
        <v>202</v>
      </c>
      <c r="E770" s="5" t="s">
        <v>206</v>
      </c>
      <c r="F770" s="5" t="n">
        <v>3</v>
      </c>
      <c r="G770" s="5" t="n">
        <v>3</v>
      </c>
      <c r="H770" s="5" t="n">
        <f aca="false">G770-F770</f>
        <v>0</v>
      </c>
      <c r="I770" s="5" t="n">
        <f aca="false">ABS(H770)</f>
        <v>0</v>
      </c>
      <c r="J770" s="5" t="n">
        <f aca="false">IF(I770=0,1,0)</f>
        <v>1</v>
      </c>
      <c r="K770" s="5" t="n">
        <f aca="false">IF(I770&lt;=1,1,0)</f>
        <v>1</v>
      </c>
      <c r="L770" s="5" t="s">
        <v>71</v>
      </c>
      <c r="M770" s="5" t="s">
        <v>363</v>
      </c>
    </row>
    <row r="771" customFormat="false" ht="15" hidden="false" customHeight="false" outlineLevel="0" collapsed="false">
      <c r="A771" s="5" t="s">
        <v>54</v>
      </c>
      <c r="B771" s="5" t="s">
        <v>55</v>
      </c>
      <c r="C771" s="5" t="s">
        <v>195</v>
      </c>
      <c r="D771" s="5" t="s">
        <v>202</v>
      </c>
      <c r="E771" s="5" t="s">
        <v>207</v>
      </c>
      <c r="F771" s="5" t="n">
        <v>3</v>
      </c>
      <c r="G771" s="5" t="n">
        <v>3</v>
      </c>
      <c r="H771" s="5" t="n">
        <f aca="false">G771-F771</f>
        <v>0</v>
      </c>
      <c r="I771" s="5" t="n">
        <f aca="false">ABS(H771)</f>
        <v>0</v>
      </c>
      <c r="J771" s="5" t="n">
        <f aca="false">IF(I771=0,1,0)</f>
        <v>1</v>
      </c>
      <c r="K771" s="5" t="n">
        <f aca="false">IF(I771&lt;=1,1,0)</f>
        <v>1</v>
      </c>
      <c r="L771" s="5" t="s">
        <v>71</v>
      </c>
      <c r="M771" s="5" t="s">
        <v>363</v>
      </c>
    </row>
    <row r="772" customFormat="false" ht="15" hidden="false" customHeight="false" outlineLevel="0" collapsed="false">
      <c r="A772" s="5" t="s">
        <v>54</v>
      </c>
      <c r="B772" s="5" t="s">
        <v>55</v>
      </c>
      <c r="C772" s="5" t="s">
        <v>195</v>
      </c>
      <c r="D772" s="5" t="s">
        <v>202</v>
      </c>
      <c r="E772" s="5" t="s">
        <v>208</v>
      </c>
      <c r="F772" s="5" t="n">
        <v>3</v>
      </c>
      <c r="G772" s="5" t="n">
        <v>3</v>
      </c>
      <c r="H772" s="5" t="n">
        <f aca="false">G772-F772</f>
        <v>0</v>
      </c>
      <c r="I772" s="5" t="n">
        <f aca="false">ABS(H772)</f>
        <v>0</v>
      </c>
      <c r="J772" s="5" t="n">
        <f aca="false">IF(I772=0,1,0)</f>
        <v>1</v>
      </c>
      <c r="K772" s="5" t="n">
        <f aca="false">IF(I772&lt;=1,1,0)</f>
        <v>1</v>
      </c>
      <c r="L772" s="5" t="s">
        <v>71</v>
      </c>
      <c r="M772" s="5" t="s">
        <v>363</v>
      </c>
    </row>
    <row r="773" customFormat="false" ht="15" hidden="false" customHeight="false" outlineLevel="0" collapsed="false">
      <c r="A773" s="5" t="s">
        <v>54</v>
      </c>
      <c r="B773" s="5" t="s">
        <v>55</v>
      </c>
      <c r="C773" s="5" t="s">
        <v>195</v>
      </c>
      <c r="D773" s="5" t="s">
        <v>202</v>
      </c>
      <c r="E773" s="5" t="s">
        <v>209</v>
      </c>
      <c r="F773" s="5" t="n">
        <v>2</v>
      </c>
      <c r="G773" s="5" t="n">
        <v>2</v>
      </c>
      <c r="H773" s="5" t="n">
        <f aca="false">G773-F773</f>
        <v>0</v>
      </c>
      <c r="I773" s="5" t="n">
        <f aca="false">ABS(H773)</f>
        <v>0</v>
      </c>
      <c r="J773" s="5" t="n">
        <f aca="false">IF(I773=0,1,0)</f>
        <v>1</v>
      </c>
      <c r="K773" s="5" t="n">
        <f aca="false">IF(I773&lt;=1,1,0)</f>
        <v>1</v>
      </c>
      <c r="L773" s="5" t="s">
        <v>71</v>
      </c>
      <c r="M773" s="5" t="s">
        <v>363</v>
      </c>
    </row>
    <row r="774" customFormat="false" ht="15" hidden="false" customHeight="false" outlineLevel="0" collapsed="false">
      <c r="A774" s="16" t="s">
        <v>54</v>
      </c>
      <c r="B774" s="16" t="s">
        <v>55</v>
      </c>
      <c r="C774" s="16" t="s">
        <v>195</v>
      </c>
      <c r="D774" s="16" t="s">
        <v>202</v>
      </c>
      <c r="E774" s="16" t="s">
        <v>210</v>
      </c>
      <c r="F774" s="16" t="n">
        <v>2</v>
      </c>
      <c r="G774" s="16" t="n">
        <v>3</v>
      </c>
      <c r="H774" s="16" t="n">
        <f aca="false">G774-F774</f>
        <v>1</v>
      </c>
      <c r="I774" s="16" t="n">
        <f aca="false">ABS(H774)</f>
        <v>1</v>
      </c>
      <c r="J774" s="16" t="n">
        <f aca="false">IF(I774=0,1,0)</f>
        <v>0</v>
      </c>
      <c r="K774" s="16" t="n">
        <f aca="false">IF(I774&lt;=1,1,0)</f>
        <v>1</v>
      </c>
      <c r="L774" s="16" t="s">
        <v>76</v>
      </c>
      <c r="M774" s="16" t="s">
        <v>363</v>
      </c>
    </row>
    <row r="775" customFormat="false" ht="15" hidden="false" customHeight="false" outlineLevel="0" collapsed="false">
      <c r="A775" s="16" t="s">
        <v>54</v>
      </c>
      <c r="B775" s="16" t="s">
        <v>55</v>
      </c>
      <c r="C775" s="16" t="s">
        <v>195</v>
      </c>
      <c r="D775" s="16" t="s">
        <v>202</v>
      </c>
      <c r="E775" s="16" t="s">
        <v>211</v>
      </c>
      <c r="F775" s="16" t="n">
        <v>2</v>
      </c>
      <c r="G775" s="16" t="n">
        <v>3</v>
      </c>
      <c r="H775" s="16" t="n">
        <f aca="false">G775-F775</f>
        <v>1</v>
      </c>
      <c r="I775" s="16" t="n">
        <f aca="false">ABS(H775)</f>
        <v>1</v>
      </c>
      <c r="J775" s="16" t="n">
        <f aca="false">IF(I775=0,1,0)</f>
        <v>0</v>
      </c>
      <c r="K775" s="16" t="n">
        <f aca="false">IF(I775&lt;=1,1,0)</f>
        <v>1</v>
      </c>
      <c r="L775" s="16" t="s">
        <v>76</v>
      </c>
      <c r="M775" s="16" t="s">
        <v>363</v>
      </c>
    </row>
    <row r="776" customFormat="false" ht="15" hidden="false" customHeight="false" outlineLevel="0" collapsed="false">
      <c r="A776" s="5" t="s">
        <v>54</v>
      </c>
      <c r="B776" s="5" t="s">
        <v>55</v>
      </c>
      <c r="C776" s="5" t="s">
        <v>195</v>
      </c>
      <c r="D776" s="5" t="s">
        <v>202</v>
      </c>
      <c r="E776" s="5" t="s">
        <v>212</v>
      </c>
      <c r="F776" s="5" t="n">
        <v>3</v>
      </c>
      <c r="G776" s="5" t="n">
        <v>3</v>
      </c>
      <c r="H776" s="5" t="n">
        <f aca="false">G776-F776</f>
        <v>0</v>
      </c>
      <c r="I776" s="5" t="n">
        <f aca="false">ABS(H776)</f>
        <v>0</v>
      </c>
      <c r="J776" s="5" t="n">
        <f aca="false">IF(I776=0,1,0)</f>
        <v>1</v>
      </c>
      <c r="K776" s="5" t="n">
        <f aca="false">IF(I776&lt;=1,1,0)</f>
        <v>1</v>
      </c>
      <c r="L776" s="5" t="s">
        <v>71</v>
      </c>
      <c r="M776" s="5" t="s">
        <v>363</v>
      </c>
    </row>
    <row r="777" customFormat="false" ht="15" hidden="false" customHeight="false" outlineLevel="0" collapsed="false">
      <c r="A777" s="5" t="s">
        <v>54</v>
      </c>
      <c r="B777" s="5" t="s">
        <v>55</v>
      </c>
      <c r="C777" s="5" t="s">
        <v>195</v>
      </c>
      <c r="D777" s="5" t="s">
        <v>202</v>
      </c>
      <c r="E777" s="5" t="s">
        <v>213</v>
      </c>
      <c r="F777" s="5" t="n">
        <v>3</v>
      </c>
      <c r="G777" s="5" t="n">
        <v>3</v>
      </c>
      <c r="H777" s="5" t="n">
        <f aca="false">G777-F777</f>
        <v>0</v>
      </c>
      <c r="I777" s="5" t="n">
        <f aca="false">ABS(H777)</f>
        <v>0</v>
      </c>
      <c r="J777" s="5" t="n">
        <f aca="false">IF(I777=0,1,0)</f>
        <v>1</v>
      </c>
      <c r="K777" s="5" t="n">
        <f aca="false">IF(I777&lt;=1,1,0)</f>
        <v>1</v>
      </c>
      <c r="L777" s="5" t="s">
        <v>71</v>
      </c>
      <c r="M777" s="5" t="s">
        <v>363</v>
      </c>
    </row>
    <row r="778" customFormat="false" ht="15" hidden="false" customHeight="false" outlineLevel="0" collapsed="false">
      <c r="A778" s="16" t="s">
        <v>54</v>
      </c>
      <c r="B778" s="16" t="s">
        <v>55</v>
      </c>
      <c r="C778" s="16" t="s">
        <v>195</v>
      </c>
      <c r="D778" s="16" t="s">
        <v>202</v>
      </c>
      <c r="E778" s="16" t="s">
        <v>214</v>
      </c>
      <c r="F778" s="16" t="n">
        <v>2</v>
      </c>
      <c r="G778" s="16" t="n">
        <v>3</v>
      </c>
      <c r="H778" s="16" t="n">
        <f aca="false">G778-F778</f>
        <v>1</v>
      </c>
      <c r="I778" s="16" t="n">
        <f aca="false">ABS(H778)</f>
        <v>1</v>
      </c>
      <c r="J778" s="16" t="n">
        <f aca="false">IF(I778=0,1,0)</f>
        <v>0</v>
      </c>
      <c r="K778" s="16" t="n">
        <f aca="false">IF(I778&lt;=1,1,0)</f>
        <v>1</v>
      </c>
      <c r="L778" s="16" t="s">
        <v>76</v>
      </c>
      <c r="M778" s="16" t="s">
        <v>363</v>
      </c>
    </row>
    <row r="779" customFormat="false" ht="15" hidden="false" customHeight="false" outlineLevel="0" collapsed="false">
      <c r="A779" s="5" t="s">
        <v>54</v>
      </c>
      <c r="B779" s="5" t="s">
        <v>55</v>
      </c>
      <c r="C779" s="5" t="s">
        <v>195</v>
      </c>
      <c r="D779" s="5" t="s">
        <v>202</v>
      </c>
      <c r="E779" s="5" t="s">
        <v>215</v>
      </c>
      <c r="F779" s="5" t="n">
        <v>3</v>
      </c>
      <c r="G779" s="5" t="n">
        <v>3</v>
      </c>
      <c r="H779" s="5" t="n">
        <f aca="false">G779-F779</f>
        <v>0</v>
      </c>
      <c r="I779" s="5" t="n">
        <f aca="false">ABS(H779)</f>
        <v>0</v>
      </c>
      <c r="J779" s="5" t="n">
        <f aca="false">IF(I779=0,1,0)</f>
        <v>1</v>
      </c>
      <c r="K779" s="5" t="n">
        <f aca="false">IF(I779&lt;=1,1,0)</f>
        <v>1</v>
      </c>
      <c r="L779" s="5" t="s">
        <v>71</v>
      </c>
      <c r="M779" s="5" t="s">
        <v>363</v>
      </c>
    </row>
    <row r="780" customFormat="false" ht="15" hidden="false" customHeight="false" outlineLevel="0" collapsed="false">
      <c r="A780" s="16" t="s">
        <v>54</v>
      </c>
      <c r="B780" s="16" t="s">
        <v>55</v>
      </c>
      <c r="C780" s="16" t="s">
        <v>195</v>
      </c>
      <c r="D780" s="16" t="s">
        <v>202</v>
      </c>
      <c r="E780" s="16" t="s">
        <v>216</v>
      </c>
      <c r="F780" s="16" t="n">
        <v>2</v>
      </c>
      <c r="G780" s="16" t="n">
        <v>0</v>
      </c>
      <c r="H780" s="16" t="n">
        <f aca="false">G780-F780</f>
        <v>-2</v>
      </c>
      <c r="I780" s="16" t="n">
        <f aca="false">ABS(H780)</f>
        <v>2</v>
      </c>
      <c r="J780" s="16" t="n">
        <f aca="false">IF(I780=0,1,0)</f>
        <v>0</v>
      </c>
      <c r="K780" s="16" t="n">
        <f aca="false">IF(I780&lt;=1,1,0)</f>
        <v>0</v>
      </c>
      <c r="L780" s="16" t="s">
        <v>76</v>
      </c>
      <c r="M780" s="16" t="s">
        <v>363</v>
      </c>
    </row>
    <row r="781" customFormat="false" ht="15" hidden="false" customHeight="false" outlineLevel="0" collapsed="false">
      <c r="A781" s="5" t="s">
        <v>54</v>
      </c>
      <c r="B781" s="5" t="s">
        <v>55</v>
      </c>
      <c r="C781" s="5" t="s">
        <v>195</v>
      </c>
      <c r="D781" s="5" t="s">
        <v>202</v>
      </c>
      <c r="E781" s="5" t="s">
        <v>217</v>
      </c>
      <c r="F781" s="5" t="n">
        <v>3</v>
      </c>
      <c r="G781" s="5" t="n">
        <v>3</v>
      </c>
      <c r="H781" s="5" t="n">
        <f aca="false">G781-F781</f>
        <v>0</v>
      </c>
      <c r="I781" s="5" t="n">
        <f aca="false">ABS(H781)</f>
        <v>0</v>
      </c>
      <c r="J781" s="5" t="n">
        <f aca="false">IF(I781=0,1,0)</f>
        <v>1</v>
      </c>
      <c r="K781" s="5" t="n">
        <f aca="false">IF(I781&lt;=1,1,0)</f>
        <v>1</v>
      </c>
      <c r="L781" s="5" t="s">
        <v>71</v>
      </c>
      <c r="M781" s="5" t="s">
        <v>363</v>
      </c>
    </row>
    <row r="782" customFormat="false" ht="15" hidden="false" customHeight="false" outlineLevel="0" collapsed="false">
      <c r="A782" s="16" t="s">
        <v>54</v>
      </c>
      <c r="B782" s="16" t="s">
        <v>55</v>
      </c>
      <c r="C782" s="16" t="s">
        <v>195</v>
      </c>
      <c r="D782" s="16" t="s">
        <v>202</v>
      </c>
      <c r="E782" s="16" t="s">
        <v>218</v>
      </c>
      <c r="F782" s="16" t="n">
        <v>2</v>
      </c>
      <c r="G782" s="16" t="n">
        <v>3</v>
      </c>
      <c r="H782" s="16" t="n">
        <f aca="false">G782-F782</f>
        <v>1</v>
      </c>
      <c r="I782" s="16" t="n">
        <f aca="false">ABS(H782)</f>
        <v>1</v>
      </c>
      <c r="J782" s="16" t="n">
        <f aca="false">IF(I782=0,1,0)</f>
        <v>0</v>
      </c>
      <c r="K782" s="16" t="n">
        <f aca="false">IF(I782&lt;=1,1,0)</f>
        <v>1</v>
      </c>
      <c r="L782" s="16" t="s">
        <v>76</v>
      </c>
      <c r="M782" s="16" t="s">
        <v>363</v>
      </c>
    </row>
    <row r="783" customFormat="false" ht="15" hidden="false" customHeight="false" outlineLevel="0" collapsed="false">
      <c r="A783" s="16" t="s">
        <v>54</v>
      </c>
      <c r="B783" s="16" t="s">
        <v>55</v>
      </c>
      <c r="C783" s="16" t="s">
        <v>195</v>
      </c>
      <c r="D783" s="16" t="s">
        <v>202</v>
      </c>
      <c r="E783" s="16" t="s">
        <v>219</v>
      </c>
      <c r="F783" s="16" t="n">
        <v>2</v>
      </c>
      <c r="G783" s="16" t="n">
        <v>3</v>
      </c>
      <c r="H783" s="16" t="n">
        <f aca="false">G783-F783</f>
        <v>1</v>
      </c>
      <c r="I783" s="16" t="n">
        <f aca="false">ABS(H783)</f>
        <v>1</v>
      </c>
      <c r="J783" s="16" t="n">
        <f aca="false">IF(I783=0,1,0)</f>
        <v>0</v>
      </c>
      <c r="K783" s="16" t="n">
        <f aca="false">IF(I783&lt;=1,1,0)</f>
        <v>1</v>
      </c>
      <c r="L783" s="16" t="s">
        <v>76</v>
      </c>
      <c r="M783" s="16" t="s">
        <v>363</v>
      </c>
    </row>
    <row r="784" customFormat="false" ht="15" hidden="false" customHeight="false" outlineLevel="0" collapsed="false">
      <c r="A784" s="5" t="s">
        <v>54</v>
      </c>
      <c r="B784" s="5" t="s">
        <v>55</v>
      </c>
      <c r="C784" s="5" t="s">
        <v>195</v>
      </c>
      <c r="D784" s="5" t="s">
        <v>202</v>
      </c>
      <c r="E784" s="5" t="s">
        <v>220</v>
      </c>
      <c r="F784" s="5" t="n">
        <v>3</v>
      </c>
      <c r="G784" s="5" t="n">
        <v>3</v>
      </c>
      <c r="H784" s="5" t="n">
        <f aca="false">G784-F784</f>
        <v>0</v>
      </c>
      <c r="I784" s="5" t="n">
        <f aca="false">ABS(H784)</f>
        <v>0</v>
      </c>
      <c r="J784" s="5" t="n">
        <f aca="false">IF(I784=0,1,0)</f>
        <v>1</v>
      </c>
      <c r="K784" s="5" t="n">
        <f aca="false">IF(I784&lt;=1,1,0)</f>
        <v>1</v>
      </c>
      <c r="L784" s="5" t="s">
        <v>71</v>
      </c>
      <c r="M784" s="5" t="s">
        <v>363</v>
      </c>
    </row>
    <row r="785" customFormat="false" ht="15" hidden="false" customHeight="false" outlineLevel="0" collapsed="false">
      <c r="A785" s="5" t="s">
        <v>54</v>
      </c>
      <c r="B785" s="5" t="s">
        <v>55</v>
      </c>
      <c r="C785" s="5" t="s">
        <v>195</v>
      </c>
      <c r="D785" s="5" t="s">
        <v>202</v>
      </c>
      <c r="E785" s="5" t="s">
        <v>221</v>
      </c>
      <c r="F785" s="5" t="n">
        <v>3</v>
      </c>
      <c r="G785" s="5" t="n">
        <v>3</v>
      </c>
      <c r="H785" s="5" t="n">
        <f aca="false">G785-F785</f>
        <v>0</v>
      </c>
      <c r="I785" s="5" t="n">
        <f aca="false">ABS(H785)</f>
        <v>0</v>
      </c>
      <c r="J785" s="5" t="n">
        <f aca="false">IF(I785=0,1,0)</f>
        <v>1</v>
      </c>
      <c r="K785" s="5" t="n">
        <f aca="false">IF(I785&lt;=1,1,0)</f>
        <v>1</v>
      </c>
      <c r="L785" s="5" t="s">
        <v>71</v>
      </c>
      <c r="M785" s="5" t="s">
        <v>363</v>
      </c>
    </row>
    <row r="786" customFormat="false" ht="15" hidden="false" customHeight="false" outlineLevel="0" collapsed="false">
      <c r="A786" s="5" t="s">
        <v>54</v>
      </c>
      <c r="B786" s="5" t="s">
        <v>55</v>
      </c>
      <c r="C786" s="5" t="s">
        <v>195</v>
      </c>
      <c r="D786" s="5" t="s">
        <v>202</v>
      </c>
      <c r="E786" s="5" t="s">
        <v>222</v>
      </c>
      <c r="F786" s="5" t="n">
        <v>3</v>
      </c>
      <c r="G786" s="5" t="n">
        <v>3</v>
      </c>
      <c r="H786" s="5" t="n">
        <f aca="false">G786-F786</f>
        <v>0</v>
      </c>
      <c r="I786" s="5" t="n">
        <f aca="false">ABS(H786)</f>
        <v>0</v>
      </c>
      <c r="J786" s="5" t="n">
        <f aca="false">IF(I786=0,1,0)</f>
        <v>1</v>
      </c>
      <c r="K786" s="5" t="n">
        <f aca="false">IF(I786&lt;=1,1,0)</f>
        <v>1</v>
      </c>
      <c r="L786" s="5" t="s">
        <v>71</v>
      </c>
      <c r="M786" s="5" t="s">
        <v>363</v>
      </c>
    </row>
    <row r="787" customFormat="false" ht="15" hidden="false" customHeight="false" outlineLevel="0" collapsed="false">
      <c r="A787" s="5" t="s">
        <v>54</v>
      </c>
      <c r="B787" s="5" t="s">
        <v>55</v>
      </c>
      <c r="C787" s="5" t="s">
        <v>195</v>
      </c>
      <c r="D787" s="5" t="s">
        <v>202</v>
      </c>
      <c r="E787" s="5" t="s">
        <v>223</v>
      </c>
      <c r="F787" s="5" t="n">
        <v>3</v>
      </c>
      <c r="G787" s="5" t="n">
        <v>3</v>
      </c>
      <c r="H787" s="5" t="n">
        <f aca="false">G787-F787</f>
        <v>0</v>
      </c>
      <c r="I787" s="5" t="n">
        <f aca="false">ABS(H787)</f>
        <v>0</v>
      </c>
      <c r="J787" s="5" t="n">
        <f aca="false">IF(I787=0,1,0)</f>
        <v>1</v>
      </c>
      <c r="K787" s="5" t="n">
        <f aca="false">IF(I787&lt;=1,1,0)</f>
        <v>1</v>
      </c>
      <c r="L787" s="5" t="s">
        <v>71</v>
      </c>
      <c r="M787" s="5" t="s">
        <v>363</v>
      </c>
    </row>
  </sheetData>
  <autoFilter ref="A1:M7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"/>
    <col collapsed="false" customWidth="true" hidden="false" outlineLevel="0" max="3" min="3" style="0" width="70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13" t="s">
        <v>40</v>
      </c>
      <c r="B1" s="13" t="s">
        <v>57</v>
      </c>
      <c r="C1" s="13" t="s">
        <v>364</v>
      </c>
      <c r="D1" s="13" t="s">
        <v>365</v>
      </c>
    </row>
    <row r="2" customFormat="false" ht="15" hidden="false" customHeight="false" outlineLevel="0" collapsed="false">
      <c r="A2" s="5" t="s">
        <v>46</v>
      </c>
      <c r="B2" s="5" t="s">
        <v>68</v>
      </c>
      <c r="C2" s="5" t="s">
        <v>366</v>
      </c>
      <c r="D2" s="5" t="s">
        <v>367</v>
      </c>
    </row>
    <row r="3" customFormat="false" ht="15" hidden="false" customHeight="false" outlineLevel="0" collapsed="false">
      <c r="A3" s="5" t="s">
        <v>46</v>
      </c>
      <c r="B3" s="5" t="s">
        <v>195</v>
      </c>
      <c r="C3" s="5" t="s">
        <v>368</v>
      </c>
      <c r="D3" s="5" t="s">
        <v>369</v>
      </c>
    </row>
    <row r="4" customFormat="false" ht="15" hidden="false" customHeight="false" outlineLevel="0" collapsed="false">
      <c r="A4" s="5" t="s">
        <v>54</v>
      </c>
      <c r="B4" s="5" t="s">
        <v>68</v>
      </c>
      <c r="C4" s="5" t="s">
        <v>370</v>
      </c>
      <c r="D4" s="5" t="s">
        <v>367</v>
      </c>
    </row>
    <row r="5" customFormat="false" ht="15" hidden="false" customHeight="false" outlineLevel="0" collapsed="false">
      <c r="A5" s="5" t="s">
        <v>54</v>
      </c>
      <c r="B5" s="5" t="s">
        <v>195</v>
      </c>
      <c r="C5" s="5" t="s">
        <v>371</v>
      </c>
      <c r="D5" s="5" t="s">
        <v>372</v>
      </c>
    </row>
    <row r="6" customFormat="false" ht="15" hidden="false" customHeight="false" outlineLevel="0" collapsed="false">
      <c r="A6" s="5" t="s">
        <v>51</v>
      </c>
      <c r="B6" s="5" t="s">
        <v>68</v>
      </c>
      <c r="C6" s="5" t="s">
        <v>370</v>
      </c>
      <c r="D6" s="5" t="s">
        <v>367</v>
      </c>
    </row>
    <row r="7" customFormat="false" ht="15" hidden="false" customHeight="false" outlineLevel="0" collapsed="false">
      <c r="A7" s="5" t="s">
        <v>51</v>
      </c>
      <c r="B7" s="5" t="s">
        <v>68</v>
      </c>
      <c r="C7" s="5" t="s">
        <v>373</v>
      </c>
      <c r="D7" s="5" t="s">
        <v>374</v>
      </c>
    </row>
    <row r="8" customFormat="false" ht="15" hidden="false" customHeight="false" outlineLevel="0" collapsed="false">
      <c r="A8" s="5" t="s">
        <v>48</v>
      </c>
      <c r="B8" s="5" t="s">
        <v>68</v>
      </c>
      <c r="C8" s="5" t="s">
        <v>366</v>
      </c>
      <c r="D8" s="5" t="s">
        <v>367</v>
      </c>
    </row>
    <row r="9" customFormat="false" ht="15" hidden="false" customHeight="false" outlineLevel="0" collapsed="false">
      <c r="A9" s="5" t="s">
        <v>48</v>
      </c>
      <c r="B9" s="5" t="s">
        <v>195</v>
      </c>
      <c r="C9" s="5" t="s">
        <v>368</v>
      </c>
      <c r="D9" s="5" t="s">
        <v>369</v>
      </c>
    </row>
    <row r="10" customFormat="false" ht="15" hidden="false" customHeight="false" outlineLevel="0" collapsed="false">
      <c r="A10" s="5" t="s">
        <v>50</v>
      </c>
      <c r="B10" s="5" t="s">
        <v>68</v>
      </c>
      <c r="C10" s="5" t="s">
        <v>375</v>
      </c>
      <c r="D10" s="5" t="s">
        <v>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2026-09-27T01:20:25Z</dcterms:created>
  <dc:creator>openpyxl</dc:creator>
  <dc:description/>
  <dc:language>en-US</dc:language>
  <cp:lastModifiedBy/>
  <dcterms:modified xsi:type="dcterms:W3CDTF">2026-09-27T01:20:25Z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