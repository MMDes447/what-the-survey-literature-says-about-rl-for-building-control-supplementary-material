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9.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tables/table7.xml" ContentType="application/vnd.openxmlformats-officedocument.spreadsheetml.table+xml"/>
  <Override PartName="/xl/tables/table8.xml" ContentType="application/vnd.openxmlformats-officedocument.spreadsheetml.table+xml"/>
  <Override PartName="/xl/tables/table2.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9.xml" ContentType="application/vnd.openxmlformats-officedocument.spreadsheetml.table+xml"/>
  <Override PartName="/xl/tables/table3.xml" ContentType="application/vnd.openxmlformats-officedocument.spreadsheetml.table+xml"/>
  <Override PartName="/xl/tables/table1.xml" ContentType="application/vnd.openxmlformats-officedocument.spreadsheetml.table+xml"/>
  <Override PartName="/xl/tables/table6.xml" ContentType="application/vnd.openxmlformats-officedocument.spreadsheetml.table+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PRISMA Accounting" sheetId="2" state="visible" r:id="rId4"/>
    <sheet name="Search Log" sheetId="3" state="visible" r:id="rId5"/>
    <sheet name="Search Strings" sheetId="4" state="visible" r:id="rId6"/>
    <sheet name="Eligibility Codebook" sheetId="5" state="visible" r:id="rId7"/>
    <sheet name="Included 22" sheetId="6" state="visible" r:id="rId8"/>
    <sheet name="Provenance 22" sheetId="7" state="visible" r:id="rId9"/>
    <sheet name="Original 172" sheetId="8" state="visible" r:id="rId10"/>
    <sheet name="Sensitivity 87" sheetId="9" state="visible" r:id="rId11"/>
    <sheet name="Final Update — 59 unique" sheetId="10" state="visible" r:id="rId12"/>
    <sheet name="Full-text Exclusions" sheetId="11" state="visible" r:id="rId13"/>
    <sheet name="Contextual Evidence" sheetId="12" state="visible" r:id="rId14"/>
    <sheet name="Raw Occurrences 359" sheetId="13" state="visible" r:id="rId15"/>
    <sheet name="Audit Checks" sheetId="14" state="visible" r:id="rId16"/>
  </sheets>
  <definedNames>
    <definedName function="false" hidden="true" localSheetId="9" name="_xlnm._FilterDatabase" vbProcedure="false">'Final Update — 59 unique'!$A$3:$Q$62</definedName>
  </definedName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<sst xmlns="http://schemas.openxmlformats.org/spreadsheetml/2006/main" count="9061" uniqueCount="2677">
  <si>
    <t xml:space="preserve">Final Search, Selection, and PRISMA Supplement — Corpus n = 22</t>
  </si>
  <si>
    <t xml:space="preserve">Item</t>
  </si>
  <si>
    <t xml:space="preserve">Final status</t>
  </si>
  <si>
    <t xml:space="preserve">Final search date</t>
  </si>
  <si>
    <t xml:space="preserve">2 September 2026</t>
  </si>
  <si>
    <t xml:space="preserve">Eligibility window</t>
  </si>
  <si>
    <t xml:space="preserve">January 2015 through 2 September 2026; no calendar-year 2025 cutoff</t>
  </si>
  <si>
    <t xml:space="preserve">Final coded corpus</t>
  </si>
  <si>
    <t xml:space="preserve">Database-derived inclusions</t>
  </si>
  <si>
    <t xml:space="preserve">Supplementary inclusions</t>
  </si>
  <si>
    <t xml:space="preserve">Original route</t>
  </si>
  <si>
    <t xml:space="preserve">180 occurrences; 8 duplicates; 172 unique; 15 final inclusions after reassessment</t>
  </si>
  <si>
    <t xml:space="preserve">Sensitivity route</t>
  </si>
  <si>
    <t xml:space="preserve">103 occurrences; 16 duplicates; 87 unique; 28 already assessed/included; 59 new; 0 new inclusions</t>
  </si>
  <si>
    <t xml:space="preserve">Final update route</t>
  </si>
  <si>
    <t xml:space="preserve">76 occurrences; 17 duplicates; 59 unique; 20 already assessed; 39 new; 2 inclusions</t>
  </si>
  <si>
    <t xml:space="preserve">Scope</t>
  </si>
  <si>
    <t xml:space="preserve">Journal reviews in which RL and operational control/energy management of occupied residential or commercial buildings are central and separable. Grid-service, electricity-market, and EV-centered reviews are outside the quantitative scope.</t>
  </si>
  <si>
    <t xml:space="preserve">Deduplication</t>
  </si>
  <si>
    <t xml:space="preserve">Exact DOI followed by normalized-title matching (case, punctuation, accents, and whitespace removed).</t>
  </si>
  <si>
    <t xml:space="preserve">Route-neutral eligibility</t>
  </si>
  <si>
    <t xml:space="preserve">Discovery route was recorded for provenance but did not determine eligibility; every record was assessed against the same final criteria.</t>
  </si>
  <si>
    <t xml:space="preserve">Historical-stage limitation</t>
  </si>
  <si>
    <t xml:space="preserve">The contemporaneous split of the original 172 records between title/abstract exclusion and full-text exclusion was not retained. This workbook reports that original route as a combined eligibility-assessment stage rather than inventing counts.</t>
  </si>
  <si>
    <t xml:space="preserve">Reviewer involvement</t>
  </si>
  <si>
    <t xml:space="preserve">Screening was performed by a single reviewer. Inclusion eligibility for all 22 reviews was independently assessed by a co-author. Coding reliability was estimated on a stratified random subsample of six reviews (27%) coded independently by a co-author against the same decision rules: across 786 survey–dimension pairs, exact agreement 72.6%, agreement within one scale level 92.2%, linear-weighted Cohen's kappa 0.71 (see inter_rater_reliability_six_reviews.xlsx). Single-reviewer screening remains stated as a limitation in the manuscript.</t>
  </si>
  <si>
    <t xml:space="preserve">Prepared for</t>
  </si>
  <si>
    <t xml:space="preserve">Revision of EAI-D-26-00659</t>
  </si>
  <si>
    <t xml:space="preserve">Reconciled Route-Based PRISMA Accounting</t>
  </si>
  <si>
    <t xml:space="preserve">Route</t>
  </si>
  <si>
    <t xml:space="preserve">Raw occurrences</t>
  </si>
  <si>
    <t xml:space="preserve">Duplicate occurrences</t>
  </si>
  <si>
    <t xml:space="preserve">Previously assessed / already included</t>
  </si>
  <si>
    <t xml:space="preserve">Distinct records screened</t>
  </si>
  <si>
    <t xml:space="preserve">Included from route</t>
  </si>
  <si>
    <t xml:space="preserve">Excluded from route</t>
  </si>
  <si>
    <t xml:space="preserve">Known title/abstract exclusions</t>
  </si>
  <si>
    <t xml:space="preserve">Known full texts assessed</t>
  </si>
  <si>
    <t xml:space="preserve">Known full-text exclusions</t>
  </si>
  <si>
    <t xml:space="preserve">Original cumulative search</t>
  </si>
  <si>
    <t xml:space="preserve">Not retained</t>
  </si>
  <si>
    <t xml:space="preserve">See close-exclusion register</t>
  </si>
  <si>
    <t xml:space="preserve">Expanded sensitivity</t>
  </si>
  <si>
    <t xml:space="preserve">Not reported separately</t>
  </si>
  <si>
    <t xml:space="preserve">1 close scope reassessment</t>
  </si>
  <si>
    <t xml:space="preserve">1 (Sajid et al.)</t>
  </si>
  <si>
    <t xml:space="preserve">Final main-query update</t>
  </si>
  <si>
    <t xml:space="preserve">Database-route totals</t>
  </si>
  <si>
    <t xml:space="preserve">Final-corpus reconciliation</t>
  </si>
  <si>
    <t xml:space="preserve">Count</t>
  </si>
  <si>
    <t xml:space="preserve">Database-derived included reviews</t>
  </si>
  <si>
    <t xml:space="preserve">Supplementary included reviews</t>
  </si>
  <si>
    <t xml:space="preserve">Check</t>
  </si>
  <si>
    <t xml:space="preserve">Interpretive note</t>
  </si>
  <si>
    <t xml:space="preserve">Value</t>
  </si>
  <si>
    <t xml:space="preserve">Combined raw occurrences</t>
  </si>
  <si>
    <t xml:space="preserve">359 across three distinct search routes; not a single undifferentiated database search</t>
  </si>
  <si>
    <t xml:space="preserve">Distinct database records actually screened</t>
  </si>
  <si>
    <t xml:space="preserve">270 after route-specific deduplication and removal of records already assessed through earlier routes</t>
  </si>
  <si>
    <t xml:space="preserve">Historical stage reporting</t>
  </si>
  <si>
    <t xml:space="preserve">Original 172 are reported as one eligibility-assessment stage because the contemporaneous title/abstract versus full-text split was not preserved</t>
  </si>
  <si>
    <t xml:space="preserve">Search Dates, Databases, and Verified Counts</t>
  </si>
  <si>
    <t xml:space="preserve">Database/export</t>
  </si>
  <si>
    <t xml:space="preserve">Search date</t>
  </si>
  <si>
    <t xml:space="preserve">Year filter</t>
  </si>
  <si>
    <t xml:space="preserve">Unique after route deduplication</t>
  </si>
  <si>
    <t xml:space="preserve">Prior records removed</t>
  </si>
  <si>
    <t xml:space="preserve">Notes</t>
  </si>
  <si>
    <t xml:space="preserve">Original cumulative</t>
  </si>
  <si>
    <t xml:space="preserve">Web of Science</t>
  </si>
  <si>
    <t xml:space="preserve">2015–2026-06-24</t>
  </si>
  <si>
    <t xml:space="preserve">Initial search 5 Feb 2025; cumulative export updated 24 Jun 2026</t>
  </si>
  <si>
    <t xml:space="preserve">ScienceDirect</t>
  </si>
  <si>
    <t xml:space="preserve">IEEE Xplore</t>
  </si>
  <si>
    <t xml:space="preserve">Original total</t>
  </si>
  <si>
    <t xml:space="preserve">All three</t>
  </si>
  <si>
    <t xml:space="preserve">8 duplicates removed</t>
  </si>
  <si>
    <t xml:space="preserve">2015–2026</t>
  </si>
  <si>
    <t xml:space="preserve">Broader system-level domain terms</t>
  </si>
  <si>
    <t xml:space="preserve">ScienceDirect A</t>
  </si>
  <si>
    <t xml:space="preserve">Boolean-limit split A</t>
  </si>
  <si>
    <t xml:space="preserve">ScienceDirect B</t>
  </si>
  <si>
    <t xml:space="preserve">Boolean-limit split B</t>
  </si>
  <si>
    <t xml:space="preserve">All publication types retained initially</t>
  </si>
  <si>
    <t xml:space="preserve">Sensitivity total</t>
  </si>
  <si>
    <t xml:space="preserve">16 duplicates; 25 original matches + Latoń + Michailidis + Sierla already in corpus; 59 new</t>
  </si>
  <si>
    <t xml:space="preserve">2025–2026</t>
  </si>
  <si>
    <t xml:space="preserve">Original main concept query rerun</t>
  </si>
  <si>
    <t xml:space="preserve">Final update total</t>
  </si>
  <si>
    <t xml:space="preserve">17 duplicates; 12 original + 8 sensitivity records already assessed; 39 new</t>
  </si>
  <si>
    <t xml:space="preserve">Database-Specific Search Strings and Filters</t>
  </si>
  <si>
    <t xml:space="preserve">Database</t>
  </si>
  <si>
    <t xml:space="preserve">Fields</t>
  </si>
  <si>
    <t xml:space="preserve">Exact query / implementation</t>
  </si>
  <si>
    <t xml:space="preserve">Filters</t>
  </si>
  <si>
    <t xml:space="preserve">Provenance note</t>
  </si>
  <si>
    <t xml:space="preserve">Original + final update</t>
  </si>
  <si>
    <t xml:space="preserve">Topic (TS) + Title (TI)</t>
  </si>
  <si>
    <t xml:space="preserve">TS=(("reinforcement learning" OR "deep reinforcement learning" OR "multi-agent reinforcement learning") AND ("building automation" OR "building energy management" OR "home energy management" OR "HVAC" OR "smart building" OR "building energy" OR "thermal comfort")) AND TI=(review OR survey OR overview OR "systematic literature review")</t>
  </si>
  <si>
    <t xml:space="preserve">English; 2015–24 Jun 2026 cumulatively; rerun for 2025–2 Sep 2026</t>
  </si>
  <si>
    <t xml:space="preserve">Historical export does not embed query history; syntax reproduces the manuscript-recorded concept blocks</t>
  </si>
  <si>
    <t xml:space="preserve">All Metadata + Document Title</t>
  </si>
  <si>
    <t xml:space="preserve">(("reinforcement learning" OR "deep reinforcement learning" OR "multi-agent reinforcement learning")) AND (("building automation" OR "building energy management" OR "home energy management" OR "HVAC" OR "smart building" OR "building energy" OR "thermal comfort")) AND (Document Title: review OR survey OR overview OR "systematic literature review")</t>
  </si>
  <si>
    <t xml:space="preserve">Platform-compatible transcription of the recorded concept blocks</t>
  </si>
  <si>
    <t xml:space="preserve">Original + final update A</t>
  </si>
  <si>
    <t xml:space="preserve">Title/abstract/keywords + Title</t>
  </si>
  <si>
    <t xml:space="preserve">("reinforcement learning" OR "deep reinforcement learning" OR "multi-agent reinforcement learning") AND ("building automation" OR "building energy management" OR "home energy management" OR "HVAC"); Title: review OR survey OR overview OR "systematic literature review"</t>
  </si>
  <si>
    <t xml:space="preserve">English; relevant date range</t>
  </si>
  <si>
    <t xml:space="preserve">Split to respect the maximum-eight-connectors limit per field</t>
  </si>
  <si>
    <t xml:space="preserve">Original + final update B</t>
  </si>
  <si>
    <t xml:space="preserve">("reinforcement learning" OR "deep reinforcement learning" OR "multi-agent reinforcement learning") AND ("smart building" OR "building energy" OR "thermal comfort"); Title: review OR survey OR overview OR "systematic literature review"</t>
  </si>
  <si>
    <t xml:space="preserve">TS=((("reinforcement learning" OR "deep reinforcement learning" OR "multi-agent reinforcement learning")) AND ("building cluster*" OR "multi-building*" OR "multiple building*" OR "district heating" OR "district energy" OR "district cooling" OR "energy communit*" OR "building microgrid*" OR "grid-interactive building*" OR "grid-responsive building*" OR "demand response")) AND TI=(review OR survey OR overview OR "systematic literature review")</t>
  </si>
  <si>
    <t xml:space="preserve">English; 2015–2026</t>
  </si>
  <si>
    <t xml:space="preserve">Exact recorded sensitivity query</t>
  </si>
  <si>
    <t xml:space="preserve">("All Metadata":"reinforcement learning" OR "All Metadata":"deep reinforcement learning" OR "All Metadata":"multi-agent reinforcement learning") AND ("All Metadata":"building cluster*" OR "All Metadata":"multi-building*" OR "All Metadata":"multiple building*" OR "All Metadata":"district heating" OR "All Metadata":"district energy" OR "All Metadata":"district cooling" OR "All Metadata":"energy communit*" OR "All Metadata":"building microgrid*" OR "All Metadata":"grid-interactive building*" OR "All Metadata":"grid-responsive building*" OR "All Metadata":"demand response") AND ("Document Title":review OR "Document Title":survey OR "Document Title":overview OR "Document Title":"systematic literature review")</t>
  </si>
  <si>
    <t xml:space="preserve">Expanded sensitivity A</t>
  </si>
  <si>
    <t xml:space="preserve">("reinforcement learning" OR "deep reinforcement learning" OR "multi-agent reinforcement learning") AND ("building cluster" OR "multi-building" OR "multiple building" OR "district heating" OR "district energy" OR "district cooling"); Title: review OR survey OR overview OR "systematic literature review"</t>
  </si>
  <si>
    <t xml:space="preserve">Exact recorded query A</t>
  </si>
  <si>
    <t xml:space="preserve">Expanded sensitivity B</t>
  </si>
  <si>
    <t xml:space="preserve">("reinforcement learning" OR "deep reinforcement learning" OR "multi-agent reinforcement learning") AND ("energy community" OR "building microgrid" OR "grid-interactive building" OR "grid-responsive building" OR "demand response"); Title: review OR survey OR overview OR "systematic literature review"</t>
  </si>
  <si>
    <t xml:space="preserve">Exact recorded query B</t>
  </si>
  <si>
    <t xml:space="preserve">Final Eligibility Criteria and Decision Rules</t>
  </si>
  <si>
    <t xml:space="preserve">Dimension</t>
  </si>
  <si>
    <t xml:space="preserve">Include when</t>
  </si>
  <si>
    <t xml:space="preserve">Exclude when</t>
  </si>
  <si>
    <t xml:space="preserve">Evidence checked</t>
  </si>
  <si>
    <t xml:space="preserve">Primary exclusion label</t>
  </si>
  <si>
    <t xml:space="preserve">Final scope clarification</t>
  </si>
  <si>
    <t xml:space="preserve">Publication type</t>
  </si>
  <si>
    <t xml:space="preserve">Full peer-reviewed journal review, survey, systematic review, or comprehensive review</t>
  </si>
  <si>
    <t xml:space="preserve">Primary study, conference paper, chapter, thesis, report, preprint, corrigendum, letter, or short non-review format</t>
  </si>
  <si>
    <t xml:space="preserve">Article type, venue, length, review structure</t>
  </si>
  <si>
    <t xml:space="preserve">Wrong publication type</t>
  </si>
  <si>
    <t xml:space="preserve">Contextual records may be discussed but are not coded</t>
  </si>
  <si>
    <t xml:space="preserve">Language/access</t>
  </si>
  <si>
    <t xml:space="preserve">English full text accessible</t>
  </si>
  <si>
    <t xml:space="preserve">Non-English or full text unavailable</t>
  </si>
  <si>
    <t xml:space="preserve">Full text and bibliographic record</t>
  </si>
  <si>
    <t xml:space="preserve">Language/full text unavailable</t>
  </si>
  <si>
    <t xml:space="preserve">No eligible record was excluded solely by publication year</t>
  </si>
  <si>
    <t xml:space="preserve">RL centrality</t>
  </si>
  <si>
    <t xml:space="preserve">RL/DRL/MARL organizes the objectives, study selection, taxonomy, comparisons, or synthesis</t>
  </si>
  <si>
    <t xml:space="preserve">RL is one method in a broader AI, ML, optimization, MPC, or control review</t>
  </si>
  <si>
    <t xml:space="preserve">Objectives, eligibility, tables, taxonomy, proportion devoted to RL</t>
  </si>
  <si>
    <t xml:space="preserve">RL not central</t>
  </si>
  <si>
    <t xml:space="preserve">A prominent RL paragraph alone is insufficient</t>
  </si>
  <si>
    <t xml:space="preserve">Building-control centrality</t>
  </si>
  <si>
    <t xml:space="preserve">Control or energy management of occupied residential or commercial buildings is a central and separable review domain</t>
  </si>
  <si>
    <t xml:space="preserve">Grid, markets, EVs, industrial systems, agriculture, or general control dominate</t>
  </si>
  <si>
    <t xml:space="preserve">Research questions, taxonomy, included-study distribution</t>
  </si>
  <si>
    <t xml:space="preserve">Building control not central</t>
  </si>
  <si>
    <t xml:space="preserve">Buildings must be explicit controllable units</t>
  </si>
  <si>
    <t xml:space="preserve">Included subsystems</t>
  </si>
  <si>
    <t xml:space="preserve">HVAC, thermal comfort, HEMS/BEMS, lighting, storage, renewables, BIPV, occupant-centric control</t>
  </si>
  <si>
    <t xml:space="preserve">Occupant modelling without a control decision; non-building assets</t>
  </si>
  <si>
    <t xml:space="preserve">State/action/objective and application scope</t>
  </si>
  <si>
    <t xml:space="preserve">Outside building-control scope</t>
  </si>
  <si>
    <t xml:space="preserve">Multi-building/district work qualifies only when building-control findings are separable</t>
  </si>
  <si>
    <t xml:space="preserve">Grid interaction boundary</t>
  </si>
  <si>
    <t xml:space="preserve">Building-side control remains central; grid signal is an input or constraint</t>
  </si>
  <si>
    <t xml:space="preserve">Grid services, market participation, or power-system operation is the principal synthesis</t>
  </si>
  <si>
    <t xml:space="preserve">System boundary and controlled resources</t>
  </si>
  <si>
    <t xml:space="preserve">Outside declared grid scope</t>
  </si>
  <si>
    <t xml:space="preserve">The final quantitative corpus intentionally excludes grid-interaction reviews centered on grid services</t>
  </si>
  <si>
    <t xml:space="preserve">Independence</t>
  </si>
  <si>
    <t xml:space="preserve">Distinct review and evidence base</t>
  </si>
  <si>
    <t xml:space="preserve">Duplicate, corrigendum, or substantially overlapping synthesis</t>
  </si>
  <si>
    <t xml:space="preserve">Authors, abstract, tables, primary-study set</t>
  </si>
  <si>
    <t xml:space="preserve">Duplicate/overlapping review</t>
  </si>
  <si>
    <t xml:space="preserve">Two applications. The Mazhar Next Energy record is excluded in favour of the independent IET review. Han et al. (2019), Sustainable Cities and Society 51:101748, is excluded as a companion report of the same review programme as the included Han et al. (2021): the 2021 review states which primary studies it excludes and refers the reader to the 2019 review for them, so the two partition a single evidence base. The criterion is triggered by a declared partition of the evidence base, not by shared authorship alone; Li et al. (2025) and Lei et al. (2026) share three authors but select on orthogonal axes and neither refers excluded literature to the other, so both are retained.</t>
  </si>
  <si>
    <t xml:space="preserve">Date</t>
  </si>
  <si>
    <t xml:space="preserve">Published and available by 2 September 2026</t>
  </si>
  <si>
    <t xml:space="preserve">Available only after the final search date</t>
  </si>
  <si>
    <t xml:space="preserve">Online publication/index date</t>
  </si>
  <si>
    <t xml:space="preserve">Outside date window</t>
  </si>
  <si>
    <t xml:space="preserve">Eligibility begins January 2015; no December 2025 cutoff</t>
  </si>
  <si>
    <t xml:space="preserve">Final Included Review Corpus (n = 22)</t>
  </si>
  <si>
    <t xml:space="preserve">Corpus ID</t>
  </si>
  <si>
    <t xml:space="preserve">Title</t>
  </si>
  <si>
    <t xml:space="preserve">Authors</t>
  </si>
  <si>
    <t xml:space="preserve">Year</t>
  </si>
  <si>
    <t xml:space="preserve">Venue</t>
  </si>
  <si>
    <t xml:space="preserve">DOI</t>
  </si>
  <si>
    <t xml:space="preserve">Inclusion route</t>
  </si>
  <si>
    <t xml:space="preserve">Corpus status</t>
  </si>
  <si>
    <t xml:space="preserve">Database-derived?</t>
  </si>
  <si>
    <t xml:space="preserve">Inclusion rationale</t>
  </si>
  <si>
    <t xml:space="preserve">INC-01</t>
  </si>
  <si>
    <t xml:space="preserve">A review of reinforcement learning for autonomous building energy management</t>
  </si>
  <si>
    <t xml:space="preserve">Mason, Karl; Grijalva, Santiago</t>
  </si>
  <si>
    <t xml:space="preserve">Computers &amp; Electrical Engineering</t>
  </si>
  <si>
    <t xml:space="preserve">10.1016/j.compeleceng.2019.07.019</t>
  </si>
  <si>
    <t xml:space="preserve">Original database search</t>
  </si>
  <si>
    <t xml:space="preserve">Pre-existing corpus</t>
  </si>
  <si>
    <t xml:space="preserve">Yes</t>
  </si>
  <si>
    <t xml:space="preserve">Eligible journal review with RL and operational building control or energy management as central and separable subjects.</t>
  </si>
  <si>
    <t xml:space="preserve">INC-02</t>
  </si>
  <si>
    <t xml:space="preserve">The reinforcement learning method for occupant behavior in building control: A review</t>
  </si>
  <si>
    <t xml:space="preserve">Han, Mengjie; Zhao, Jing; Zhang, Xingxing; Shen, Jingchun; Li, Yu</t>
  </si>
  <si>
    <t xml:space="preserve">Energy and Built Environment</t>
  </si>
  <si>
    <t xml:space="preserve">10.1016/j.enbenv.2020.08.005</t>
  </si>
  <si>
    <t xml:space="preserve">INC-03</t>
  </si>
  <si>
    <t xml:space="preserve">Reinforcement learning for building controls: The opportunities and challenges</t>
  </si>
  <si>
    <t xml:space="preserve">Wang, Zhe; Hong, Tianzhen</t>
  </si>
  <si>
    <t xml:space="preserve">Applied Energy</t>
  </si>
  <si>
    <t xml:space="preserve">10.1016/j.apenergy.2020.115036</t>
  </si>
  <si>
    <t xml:space="preserve">INC-04</t>
  </si>
  <si>
    <t xml:space="preserve">A Review of Deep Reinforcement Learning for Smart Building Energy Management</t>
  </si>
  <si>
    <t xml:space="preserve">Yu, L; Qin, SQ; Zhang, M; Shen, C; Jiang, T; Guan, XH</t>
  </si>
  <si>
    <t xml:space="preserve">IEEE INTERNET OF THINGS JOURNAL</t>
  </si>
  <si>
    <t xml:space="preserve">10.1109/jiot.2021.3078462</t>
  </si>
  <si>
    <t xml:space="preserve">INC-05</t>
  </si>
  <si>
    <t xml:space="preserve">A review of reinforcement learning applications to control of heating, ventilation and air conditioning systems</t>
  </si>
  <si>
    <t xml:space="preserve">Sierla, Seppo; Ihasalo, Heikki; Vyatkin, Valeriy</t>
  </si>
  <si>
    <t xml:space="preserve">Energies</t>
  </si>
  <si>
    <t xml:space="preserve">10.3390/en15103526</t>
  </si>
  <si>
    <t xml:space="preserve">Supplementary/citation searching; later retrieved by sensitivity search</t>
  </si>
  <si>
    <t xml:space="preserve">Pre-existing corpus; provenance corrected</t>
  </si>
  <si>
    <t xml:space="preserve">No</t>
  </si>
  <si>
    <t xml:space="preserve">Eligible journal review with RL and HVAC control as central and separable subjects.</t>
  </si>
  <si>
    <t xml:space="preserve">INC-06</t>
  </si>
  <si>
    <t xml:space="preserve">Applications of reinforcement learning for building energy efficiency control: A review</t>
  </si>
  <si>
    <t xml:space="preserve">Fu, Qiming; Han, Zhicong; Chen, Jianping; Lu, You; Wu, Hongjie; Wang, Yunzhe</t>
  </si>
  <si>
    <t xml:space="preserve">Journal of Building Engineering</t>
  </si>
  <si>
    <t xml:space="preserve">10.1016/j.jobe.2022.104165</t>
  </si>
  <si>
    <t xml:space="preserve">INC-07</t>
  </si>
  <si>
    <t xml:space="preserve">Building Energy Management With Reinforcement Learning and Model Predictive Control: A Survey</t>
  </si>
  <si>
    <t xml:space="preserve">H. Zhang; S. Seal; D. Wu; F. Bouffard; B. Boulet</t>
  </si>
  <si>
    <t xml:space="preserve">IEEE Access</t>
  </si>
  <si>
    <t xml:space="preserve">10.1109/access.2022.3156581</t>
  </si>
  <si>
    <t xml:space="preserve">INC-08</t>
  </si>
  <si>
    <t xml:space="preserve">Reinforcement Learning: Theory and Applications in HEMS</t>
  </si>
  <si>
    <t xml:space="preserve">Al-Ani, O; Das, S</t>
  </si>
  <si>
    <t xml:space="preserve">ENERGIES</t>
  </si>
  <si>
    <t xml:space="preserve">10.3390/en15176392</t>
  </si>
  <si>
    <t xml:space="preserve">INC-09</t>
  </si>
  <si>
    <t xml:space="preserve">Systematic Review on Deep Reinforcement Learning-Based Energy Management for Different Building Types</t>
  </si>
  <si>
    <t xml:space="preserve">Shaqour, Ayas; Hagishima, Aya</t>
  </si>
  <si>
    <t xml:space="preserve">10.3390/en15228663</t>
  </si>
  <si>
    <t xml:space="preserve">Supplementary Google Scholar search</t>
  </si>
  <si>
    <t xml:space="preserve">Eligible journal review with RL and building energy management as central and separable subjects.</t>
  </si>
  <si>
    <t xml:space="preserve">INC-10</t>
  </si>
  <si>
    <t xml:space="preserve">A Review of Reinforcement Learning for Controlling Building Energy Systems From a Computer Science Perspective</t>
  </si>
  <si>
    <t xml:space="preserve">Weinberg, David; Wang, Qian; Timoudas, Thomas Ohlson; Fischione, Carlo</t>
  </si>
  <si>
    <t xml:space="preserve">Sustainable Cities and Society</t>
  </si>
  <si>
    <t xml:space="preserve">10.1016/j.scs.2022.104351</t>
  </si>
  <si>
    <t xml:space="preserve">INC-11</t>
  </si>
  <si>
    <t xml:space="preserve">Dynamic indoor thermal environment using Reinforcement Learning-based controls: Opportunities and challenges</t>
  </si>
  <si>
    <t xml:space="preserve">Chatterjee, Arnab; Khovalyg, Dolaana</t>
  </si>
  <si>
    <t xml:space="preserve">Building and Environment</t>
  </si>
  <si>
    <t xml:space="preserve">10.1016/j.buildenv.2023.110766</t>
  </si>
  <si>
    <t xml:space="preserve">INC-12</t>
  </si>
  <si>
    <t xml:space="preserve">An overview of reinforcement learning-based approaches for smart home energy management systems with energy storages</t>
  </si>
  <si>
    <t xml:space="preserve">Pinthurat, W; Surinkaew, T; Hredzak, B</t>
  </si>
  <si>
    <t xml:space="preserve">RENEWABLE &amp; SUSTAINABLE ENERGY REVIEWS</t>
  </si>
  <si>
    <t xml:space="preserve">10.1016/j.rser.2024.114648</t>
  </si>
  <si>
    <t xml:space="preserve">INC-13</t>
  </si>
  <si>
    <t xml:space="preserve">Applications of Deep Reinforcement Learning for Home Energy Management Systems: A Review</t>
  </si>
  <si>
    <t xml:space="preserve">Latoń, Dominik; Grela, Jakub; Ożadowicz, Andrzej</t>
  </si>
  <si>
    <t xml:space="preserve">10.3390/en17246420</t>
  </si>
  <si>
    <t xml:space="preserve">Eligible journal review organized around DRL applications for home energy management systems.</t>
  </si>
  <si>
    <t xml:space="preserve">INC-14</t>
  </si>
  <si>
    <t xml:space="preserve">Reinforcement learning for HVAC control in intelligent buildings: A technical and conceptual review</t>
  </si>
  <si>
    <t xml:space="preserve">Al Sayed, Khalil; Boodi, Abhinandana; Sadeghian Broujeny, Roozbeh; Beddiar, Karim</t>
  </si>
  <si>
    <t xml:space="preserve">10.1016/j.jobe.2024.110085</t>
  </si>
  <si>
    <t xml:space="preserve">INC-15</t>
  </si>
  <si>
    <t xml:space="preserve">A systematic review of reinforcement learning in Building-Integrated Photovoltaic (BIPV) optimization</t>
  </si>
  <si>
    <t xml:space="preserve">Li, Jiaqi; Xie, Hongbin; Zhang, Jingyuan; Li, Lianxin; Song, Ge; Fu, Hongdi; Chen, Panxi; Liu, Chenyang; Zhang, Liyu; Shi, Zhuoran; Yu, Qing; Song, Xuan; Zhang, Haoran</t>
  </si>
  <si>
    <t xml:space="preserve">Advances in Applied Energy</t>
  </si>
  <si>
    <t xml:space="preserve">10.1016/j.adapen.2025.100239</t>
  </si>
  <si>
    <t xml:space="preserve">Original database record; reassessed during revision</t>
  </si>
  <si>
    <t xml:space="preserve">Added during revision</t>
  </si>
  <si>
    <t xml:space="preserve">The synthesis concerns RL-based operational scheduling and energy management of BIPV systems, not PV sizing, placement, or building-envelope design.</t>
  </si>
  <si>
    <t xml:space="preserve">INC-16</t>
  </si>
  <si>
    <t xml:space="preserve">Multi objectives reinforcement learning for smart buildings: A systematic review of algorithms, applications and future perspectives</t>
  </si>
  <si>
    <t xml:space="preserve">Huynh, Thi Ngoc Yen; Nguyen, Anh Tuan; Ahn, Yonghan; Oo, Bee Lan; Lim, Benson T.H.</t>
  </si>
  <si>
    <t xml:space="preserve">Energy and Buildings</t>
  </si>
  <si>
    <t xml:space="preserve">10.1016/j.enbuild.2025.116045</t>
  </si>
  <si>
    <t xml:space="preserve">INC-17</t>
  </si>
  <si>
    <t xml:space="preserve">Reinforcement learning for control and optimization of real buildings: Identifying and addressing implementation hurdles</t>
  </si>
  <si>
    <t xml:space="preserve">Kannari, Lotta; Wessberg, Nina; Hirvonen, Sara; Kantorovitch, Julia; Paiho, Satu</t>
  </si>
  <si>
    <t xml:space="preserve">10.1016/j.jobe.2025.112283</t>
  </si>
  <si>
    <t xml:space="preserve">INC-18</t>
  </si>
  <si>
    <t xml:space="preserve">Reinforcement Learning for Optimizing Renewable Energy Utilization in Buildings: A Review on Applications and Innovations</t>
  </si>
  <si>
    <t xml:space="preserve">Michailidis, Panagiotis; Michailidis, Iakovos; Kosmatopoulos, Elias</t>
  </si>
  <si>
    <t xml:space="preserve">10.3390/en18071724</t>
  </si>
  <si>
    <t xml:space="preserve">Eligible journal review centered on RL-based operational management of renewable energy within buildings.</t>
  </si>
  <si>
    <t xml:space="preserve">INC-19</t>
  </si>
  <si>
    <t xml:space="preserve">Reward function design in reinforcement learning for HVAC Control: A review of thermal comfort and energy efficiency Trade-offs</t>
  </si>
  <si>
    <t xml:space="preserve">Togashi, Eisuke</t>
  </si>
  <si>
    <t xml:space="preserve">10.1016/j.enbuild.2025.116439</t>
  </si>
  <si>
    <t xml:space="preserve">RL is the sole review subject, and reward-function design for operational HVAC control is the central synthesis.</t>
  </si>
  <si>
    <t xml:space="preserve">INC-20</t>
  </si>
  <si>
    <t xml:space="preserve">Deep Reinforcement Learning and IoT for Renewable Energy Optimization in Smart Buildings: A Comprehensive Review</t>
  </si>
  <si>
    <t xml:space="preserve">Mazhar, T; Guizani, S; Hamam, H</t>
  </si>
  <si>
    <t xml:space="preserve">IET GENERATION TRANSMISSION &amp; DISTRIBUTION</t>
  </si>
  <si>
    <t xml:space="preserve">10.1049/gtd2.70255</t>
  </si>
  <si>
    <t xml:space="preserve">DRL structures the algorithmic synthesis; IoT is treated primarily as enabling sensing and data infrastructure, while HVAC, lighting, storage, and renewable-energy allocation are building-side control actions.</t>
  </si>
  <si>
    <t xml:space="preserve">INC-21</t>
  </si>
  <si>
    <t xml:space="preserve">Enhancing the resilience of building multi-energy systems using deep reinforcement learning: A comprehensive survey</t>
  </si>
  <si>
    <t xml:space="preserve">Lei, Yuzhen; Xie, Hongbin; Zhao, Jiaxing; Liu, Shuangxue; Feng, Defan; Xu, Hengyi; Xie, Linguo; Song, Xuan; Zhang, Haoran</t>
  </si>
  <si>
    <t xml:space="preserve">10.1016/j.apenergy.2026.128292</t>
  </si>
  <si>
    <t xml:space="preserve">The survey maps six DRL paradigms to operational scheduling, coordinated control, disturbance response, and restoration in building-scale multi-energy systems; buildings are the explicit controlled system.</t>
  </si>
  <si>
    <t xml:space="preserve">INC-22</t>
  </si>
  <si>
    <t xml:space="preserve">Hybrid Reinforcement Learning for occupant-centric building control: A review and deployment framework for co-optimizing energy, comfort, and indoor air quality</t>
  </si>
  <si>
    <t xml:space="preserve">Mohsenpour, Majid; Xing, Yangang</t>
  </si>
  <si>
    <t xml:space="preserve">10.1016/j.apenergy.2026.127392</t>
  </si>
  <si>
    <t xml:space="preserve">Supplementary publisher/citation searching</t>
  </si>
  <si>
    <t xml:space="preserve">RL structures the occupant-centric building-control review and deployment synthesis; energy, comfort, and indoor-air-quality control are the central building-side objectives.</t>
  </si>
  <si>
    <t xml:space="preserve">Discovery Provenance of the 22 Included Reviews</t>
  </si>
  <si>
    <t xml:space="preserve">Export presence columns record whether the review appears in the preserved raw RIS exports for each route, verified by DOI and normalised-title matching against all eleven export files. They document retrievability, not the route through which the review was actually first obtained.</t>
  </si>
  <si>
    <t xml:space="preserve">Review</t>
  </si>
  <si>
    <t xml:space="preserve">Documented discovery route</t>
  </si>
  <si>
    <t xml:space="preserve">In original export</t>
  </si>
  <si>
    <t xml:space="preserve">In sensitivity export</t>
  </si>
  <si>
    <t xml:space="preserve">In final-update export</t>
  </si>
  <si>
    <t xml:space="preserve">Evidence basis for the stated route</t>
  </si>
  <si>
    <t xml:space="preserve">Mason et al. (2019)</t>
  </si>
  <si>
    <t xml:space="preserve">2019</t>
  </si>
  <si>
    <t xml:space="preserve">Present in the preserved original cumulative export (24 Jun 2026).</t>
  </si>
  <si>
    <t xml:space="preserve">Han et al. (2021)</t>
  </si>
  <si>
    <t xml:space="preserve">2021</t>
  </si>
  <si>
    <t xml:space="preserve">Present in the preserved original cumulative export (24 Jun 2026), record ORI-059.</t>
  </si>
  <si>
    <t xml:space="preserve">Wang et al. (2020)</t>
  </si>
  <si>
    <t xml:space="preserve">2020</t>
  </si>
  <si>
    <t xml:space="preserve">Yu et al. (2021)</t>
  </si>
  <si>
    <t xml:space="preserve">Present in the preserved original cumulative export (24 Jun 2026). Also returned by the sensitivity route.</t>
  </si>
  <si>
    <t xml:space="preserve">Sierla et al. (2022)</t>
  </si>
  <si>
    <t xml:space="preserve">2022</t>
  </si>
  <si>
    <t xml:space="preserve">Belonged to the pre-existing coded corpus but is absent from the preserved original export; the original discovery log was not retained and no specific backward-citation source is claimed. Independently retrieved by the 31 Aug 2026 sensitivity search (DOI 10.3390/en15103526, record SENS-036), which corroborates retrievability.</t>
  </si>
  <si>
    <t xml:space="preserve">Fu et al. (2022)</t>
  </si>
  <si>
    <t xml:space="preserve">H. Zhang et al. (2022)</t>
  </si>
  <si>
    <t xml:space="preserve">Al-Ani et al. (2022)</t>
  </si>
  <si>
    <t xml:space="preserve">Shaqour et al. (2022)</t>
  </si>
  <si>
    <t xml:space="preserve">Located during the original study using the same search concepts. Absent from all preserved exports and never re-retrieved by a later route; earliest documented route reported. Direct Google Scholar find, so no parent citation trail applies.</t>
  </si>
  <si>
    <t xml:space="preserve">Weinberg et al. (2023)</t>
  </si>
  <si>
    <t xml:space="preserve">2023</t>
  </si>
  <si>
    <t xml:space="preserve">Chatterjee et al. (2023)</t>
  </si>
  <si>
    <t xml:space="preserve">Pinthurat et al. (2024)</t>
  </si>
  <si>
    <t xml:space="preserve">2024</t>
  </si>
  <si>
    <t xml:space="preserve">Latoń et al. (2024)</t>
  </si>
  <si>
    <t xml:space="preserve">Located during the original study using the same search concepts. Absent from the preserved original export, but independently retrieved by the 31 Aug 2026 sensitivity search (DOI 10.3390/en17246420), which corroborates retrievability. Direct Google Scholar find, so no parent citation trail applies.</t>
  </si>
  <si>
    <t xml:space="preserve">Al Sayed et al. (2024)</t>
  </si>
  <si>
    <t xml:space="preserve">Li et al. (2025)</t>
  </si>
  <si>
    <t xml:space="preserve">2025</t>
  </si>
  <si>
    <t xml:space="preserve">Present in the preserved original cumulative export (24 Jun 2026); eligibility decision revised at full-text reassessment during revision.</t>
  </si>
  <si>
    <t xml:space="preserve">Huynh et al. (2025)</t>
  </si>
  <si>
    <t xml:space="preserve">Present in the preserved original cumulative export (24 Jun 2026). Also returned by the sensitivity and final update routes.</t>
  </si>
  <si>
    <t xml:space="preserve">Kannari et al. (2025)</t>
  </si>
  <si>
    <t xml:space="preserve">Present in the preserved original cumulative export (24 Jun 2026). Also returned by the final update route.</t>
  </si>
  <si>
    <t xml:space="preserve">Michailidis et al. (2025)</t>
  </si>
  <si>
    <t xml:space="preserve">Belonged to the 17-review corpus but is absent from the preserved original export; the original citation trail was not retained and no specific backward-citation source is claimed. Independently retrieved by the 31 Aug 2026 sensitivity search (DOI 10.3390/en18071724), which corroborates retrievability. Weakest historical provenance in the corpus, and recorded as such.</t>
  </si>
  <si>
    <t xml:space="preserve">Togashi (2025)</t>
  </si>
  <si>
    <t xml:space="preserve">Present in the preserved original cumulative export (24 Jun 2026); eligibility decision revised at full-text reassessment during revision. Also returned by the final update route.</t>
  </si>
  <si>
    <t xml:space="preserve">Mazhar et al. (2026)</t>
  </si>
  <si>
    <t xml:space="preserve">2026</t>
  </si>
  <si>
    <t xml:space="preserve">Present in the preserved final main-query update export (2 Sep 2026).</t>
  </si>
  <si>
    <t xml:space="preserve">Lei et al. (2026)</t>
  </si>
  <si>
    <t xml:space="preserve">Mohsenpour et al. (2026)</t>
  </si>
  <si>
    <t xml:space="preserve">Identified during revision through publisher and institutional searching. Absent from all preserved exports, consistent with publication after the 2 Sep 2026 export queries were framed; earliest documented route reported.</t>
  </si>
  <si>
    <t xml:space="preserve">Note on supplementary records</t>
  </si>
  <si>
    <t xml:space="preserve">For supplementary records whose original discovery log was not retained, the earliest documented route is reported. No specific backward-citation source is claimed where it could not be reconstructed.</t>
  </si>
  <si>
    <t xml:space="preserve">Summary</t>
  </si>
  <si>
    <t xml:space="preserve">Traceable to a preserved database export</t>
  </si>
  <si>
    <t xml:space="preserve">  of which present in the original cumulative export</t>
  </si>
  <si>
    <t xml:space="preserve">  of which present only in the final main-query update</t>
  </si>
  <si>
    <t xml:space="preserve">  of which present only in the expanded sensitivity export</t>
  </si>
  <si>
    <t xml:space="preserve">Absent from every preserved export</t>
  </si>
  <si>
    <t xml:space="preserve">Database-derived per the inclusion route column</t>
  </si>
  <si>
    <t xml:space="preserve">Supplementary-route inclusions</t>
  </si>
  <si>
    <t xml:space="preserve">Total</t>
  </si>
  <si>
    <t xml:space="preserve">Original Cumulative Search — 172 Unique Records</t>
  </si>
  <si>
    <t xml:space="preserve">Original ID</t>
  </si>
  <si>
    <t xml:space="preserve">Sources</t>
  </si>
  <si>
    <t xml:space="preserve">Occurrence count</t>
  </si>
  <si>
    <t xml:space="preserve">Type</t>
  </si>
  <si>
    <t xml:space="preserve">Final decision</t>
  </si>
  <si>
    <t xml:space="preserve">Primary reason</t>
  </si>
  <si>
    <t xml:space="preserve">Assessment stage</t>
  </si>
  <si>
    <t xml:space="preserve">Decision note</t>
  </si>
  <si>
    <t xml:space="preserve">Source files</t>
  </si>
  <si>
    <t xml:space="preserve">Abstract</t>
  </si>
  <si>
    <t xml:space="preserve">ORI-045</t>
  </si>
  <si>
    <t xml:space="preserve">A bibliometric analysis and review on reinforcement learning for transportation applications</t>
  </si>
  <si>
    <t xml:space="preserve">Li, C; Bai, L; Yao, LA; Waller, ST; Liu, W</t>
  </si>
  <si>
    <t xml:space="preserve">JOUR</t>
  </si>
  <si>
    <t xml:space="preserve">TRANSPORTMETRICA B-TRANSPORT DYNAMICS</t>
  </si>
  <si>
    <t xml:space="preserve">10.1080/21680566.2023.2179461</t>
  </si>
  <si>
    <t xml:space="preserve">Exclude</t>
  </si>
  <si>
    <t xml:space="preserve">Building control is not the central application domain</t>
  </si>
  <si>
    <t xml:space="preserve">Historical eligibility assessment</t>
  </si>
  <si>
    <t xml:space="preserve">The historical title/abstract versus full-text split was not retained; reason reconstructed from the final scope and available record metadata.</t>
  </si>
  <si>
    <t xml:space="preserve">wos_final.ris</t>
  </si>
  <si>
    <t xml:space="preserve">ORI-131</t>
  </si>
  <si>
    <t xml:space="preserve">A Comprehensive Review of Energy Management Strategies in Hybrid Electric Vehicles: Comparative Analysis and Challenges</t>
  </si>
  <si>
    <t xml:space="preserve">V. Chandra Tella; M. Alzayed; H. Chaoui</t>
  </si>
  <si>
    <t xml:space="preserve">10.1109/access.2024.3509737</t>
  </si>
  <si>
    <t xml:space="preserve">Reinforcement learning is not the central review subject</t>
  </si>
  <si>
    <t xml:space="preserve">ieee_final.ris</t>
  </si>
  <si>
    <t xml:space="preserve">As air pollution, greenhouse gases, and global warming worsen, finding clean energy sources is critical. Renewable energy is a promising solution, especially in the transportation sector, which consumes significant energy. Hybrid electric vehicles (HEVs), combining an internal combustion engine and an electric battery, are key to reducing fossil fuel use and mitigating environmental harm. Effectively managing power distribution between these sources to enhance efficiency and minimize fuel consumption is crucial, known as an Energy Management Strategy (EMS). This article provides an overview of various EMS approaches for HEVs, analyzing their advantages and disadvantages. Rule-based strategies offer simplicity, optimization-based strategies provide superior performance, and advanced techniques like machine learning promise significant improvements. Current trends include integrating sophisticated sensors, data analytics, and artificial intelligence for real-time decision-making. Future directions aim at robust EMS frameworks integrating smart grid technologies and vehicle-to-everything (V2X) communication. The article reviews EMS methodologies, comparing their strengths and weaknesses, and discusses the main challenges and future trends in energy management for hybrid electric vehicles.</t>
  </si>
  <si>
    <t xml:space="preserve">ORI-105</t>
  </si>
  <si>
    <t xml:space="preserve">A comprehensive review of machine learning and IoT solutions for demand side energy management, conservation, and resilient operation</t>
  </si>
  <si>
    <t xml:space="preserve">Elsisi, Mahmoud; Amer, Mohammed; Dababat, Alya’; Su, Chun-Lien</t>
  </si>
  <si>
    <t xml:space="preserve">Energy</t>
  </si>
  <si>
    <t xml:space="preserve">10.1016/j.energy.2023.128256</t>
  </si>
  <si>
    <t xml:space="preserve">ScienceDirect_citations_1783952383784(1).ris</t>
  </si>
  <si>
    <t xml:space="preserve">The energy consumption of major equipment in residential and industrial facilities can be minimized through a variety of cost-effective energy-saving measures. Most saving strategies are economically viable where several algorithms can be employed to reduce energy consumption to reduce costs to a considerable extent. Machine learning (ML) is one of these techniques. A review of recent research efforts concerning the application of ML strategies to energy conservation and management problems is presented in this study. In addition, ML approaches and strategies for energy-saving problems, management, technologies, and control methods have been discussed. A comprehensive review of all available publications is also used to make observations about past considerations. As a result, it has been concluded that ML is capable of solving a wide range of decision and management problems within a short period of time with minimal energy consumption. In addition, ML perspectives have been viewed from the perspective of emerging communication technologies, instruments, and cyber-physical systems (CPSs), along with the advancement of ultra-durable and energy-efficient Internet-of-Things (IoT) based communication sensors technology. Moreover, a comprehensive review of recent developments in ML algorithms is also included, including safe reinforcement learning (RL), Deep RL, path integral control for RL, and others not previously. Lastly, critical ML considerations such as emergency and remedial measures, integrity protection, fusion with existing robust controls, and combining preventive and emergent measures have been discussed. The implementation of recently applied ML, RL, and IoT strategies for energy management, conservation, and resilient operation is clarified in this paper. The proposed review highlights the advantages and drawbacks of the recent energy conservation strategies. Finally, the perspective solutions have been clarified to cope with the world direction for zero energy buildings.</t>
  </si>
  <si>
    <t xml:space="preserve">ORI-115</t>
  </si>
  <si>
    <t xml:space="preserve">A comprehensive review of predictive control strategies in heating, ventilation, and air-conditioning (HVAC): Model-free VS model</t>
  </si>
  <si>
    <t xml:space="preserve">Xin, Xin; Zhang, Zhihao; Zhou, Yong; Liu, Yanfeng; Wang, Dengjia; Nan, Shuo</t>
  </si>
  <si>
    <t xml:space="preserve">10.1016/j.jobe.2024.110013</t>
  </si>
  <si>
    <t xml:space="preserve">Predictive control offers significant advantages in nonlinear control, high thermal inertia, and dynamic control. This article uses a Systematic Reviews and Meta-Analyses methodology to review 245 studies on predictive control in HVAC systems over the past 12 years, focusing on Model Predictive Control (MPC) and Model-Free Predictive Control (MFPC). In cooling systems, MPC is widely applied to energy efficiency management, continuous operation and maintenance, and overall system optimization in multi-zone residences. Its advantage is its ability to respond to system dynamics and precisely control key components such as cooling towers, condensers, evaporators, and pumps. Research focuses on simplifying models, reducing computational complexity, and enhancing real-time performance. In contrast, MFPC saves energy in equipment components and overall operation through intelligent valves, agent control programs, and other methods. Research focuses on developing new reinforcement learning algorithms to improve control efficiency and reliability. MPC research in heating systems focuses on hydraulic and thermal balance in central heating systems and expands to managing renewable energy hybrid systems. The research aims to dynamically adjust to meet user thermal comfort requirements while reducing energy consumption and improving efficiency. Key technologies include modeling techniques, distributed MPC, cross-regional integrated control, and efficient renewable energy integration strategies. MFPC precisely controls heating system water supply temperature, heat pump energy efficiency, and heating terminals through model-free algorithms like deep reinforcement learning and multivariable extremum seeking control. In integrated HVAC systems, MPC research focuses on managing multi-energy systems through hierarchical decomposition and multi-layer strategies, seamless renewable energy integration and optimization, and developing multi-objective optimization and decision support tools. MFPC research includes automatic grading strategies for integrated controllers, online optimization balancing methods, multi-agent methods, and developing intelligent model-free adaptive control strategies. However, MFPC integration in practical applications still needs strengthening. This review guides researchers in selecting the best predictive control mode for various HVAC system applications.</t>
  </si>
  <si>
    <t xml:space="preserve">ORI-134</t>
  </si>
  <si>
    <t xml:space="preserve">A Comprehensive Review of Reinforcement Learning Algorithms for Control Systems: Applications, Challenges, and Future Directions</t>
  </si>
  <si>
    <t xml:space="preserve">A. H. Abdul Hafez; U. Demircioglu; H. Bakir; R. Alzubi</t>
  </si>
  <si>
    <t xml:space="preserve">10.1109/access.2026.3674539</t>
  </si>
  <si>
    <t xml:space="preserve">Reinforcement Learning (RL) has emerged as a powerful paradigm for optimizing control systems by enabling autonomous decision-making in dynamic environments. This review provides a comprehensive analysis of RL algorithms applied to control systems, including robotics, industrial automation, and dynamic system control. A systematic review of more than 300 research papers was conducted to assess the advantages, limitations, and real-world applicability of various RL approaches. The study categorizes RL algorithms based on their applicability to discrete and continuous control problems and evaluates their effectiveness in comparison with traditional control techniques. Additionally, this review examines the integration of RL with conventional control strategies, highlighting the impact of such integration on adaptive learning, system efficiency, and decision optimization. Key challenges associated with RL in control applications, such as computational complexity, data efficiency, and generalization issues, are also discussed. By synthesizing existing literature and identifying research gaps, this review serves as a foundational resource for researchers and practitioners aiming to advance RL-driven control systems.</t>
  </si>
  <si>
    <t xml:space="preserve">ORI-140</t>
  </si>
  <si>
    <t xml:space="preserve">A Comprehensive Review of Topologies and Energy Management Methods for Hybrid Energy Storage Systems in Electric Vehicle Applications</t>
  </si>
  <si>
    <t xml:space="preserve">P. Ranjbaran; J. Ebrahimi; A. Bakhshai; P. K. Jain</t>
  </si>
  <si>
    <t xml:space="preserve">IEEE Transactions on Power Electronics</t>
  </si>
  <si>
    <t xml:space="preserve">10.1109/tpel.2025.3625535</t>
  </si>
  <si>
    <t xml:space="preserve">Hybrid energy storage systems (HESSs), combining batteries and supercapacitors (SCs), have emerged as a promising solution to address the conflicting demands of high energy density, power density, and cycle life in electric vehicles (EVs). This article presents a comprehensive and up-to-date review of power converter topologies and energy management strategies (EMSs) for HESS integration in EVs. First, this article systematically classifies converter architectures into dual-stage, single-stage, and quasi-stage topologies to analyze their operational principles, control flexibility, efficiency, and suitability for modern EV applications. Detailed comparisons of semiactive, fully active, multi-input, and reconfigurable dual-stage converters, as well as advanced single-stage multisource inverter (MSI) configurations along with quasi-single-stage and quasi-dual-stage topologies, are provided. Next, the EMSs applicable to HESSs in EVs are reviewed and categorized into rule-based, optimization-based, machine learning (ML)-based, and hybrid methodologies. Recent advances in ML, particularly reinforcement learning algorithms, are critically examined for their potential in enabling adaptive, model-free energy management under complex and uncertain driving conditions. Comprehensive tables and comparative analyzes highlight the strengths, limitations, and validation methods of leading techniques. Finally, this article identifies key trends, technical challenges, and research gaps, and discusses future research directions to guide the codesign of converter topologies and intelligent EMSs for next-generation EVs.</t>
  </si>
  <si>
    <t xml:space="preserve">ORI-109</t>
  </si>
  <si>
    <t xml:space="preserve">A critical review of field implementation of data-driven operation and maintenance technologies to reduce building energy use and GHG emissions</t>
  </si>
  <si>
    <t xml:space="preserve">Gunay, Burak; Markus, Andre; Parsaei, Arya; Darwazeh, Darwish; Bursill, Jayson; Pellerin, Luc</t>
  </si>
  <si>
    <t xml:space="preserve">10.1016/j.enbuild.2025.116087</t>
  </si>
  <si>
    <t xml:space="preserve">RL is one of six data-driven operation and maintenance application domains</t>
  </si>
  <si>
    <t xml:space="preserve">Full-text reassessment</t>
  </si>
  <si>
    <t xml:space="preserve">RL-specific evidence is not the organizing subject</t>
  </si>
  <si>
    <t xml:space="preserve">Field implementation studies spanning six data-driven building operation and maintenance (DBOM) application domains (model-based predictive control (MPC), occupant-centric control (OCC), automated demand response (ADR), reinforcement learning control (RLC), fault detection and diagnostics (FDD), and virtual metering (VM)) were reviewed. The review aimed to make inter- and intra-application domain comparisons in terms of implementation processes and outcomes. The studies were classified by different levels of integration effort and sensing infrastructure complexity according to the quantity and kind of their inputs and outputs. An analysis is conducted on how energy-related success metrics (e.g., energy use, cost, demand) correlate with the integration effort and the complexity of the infrastructure. In general, MPC and ADR studies were found to require a higher level of integration effort than OCC studies; yet, OCC studies tend to require upgrades in the sensing infrastructure, unlike MPC and ADR studies. 95 % of those reporting post-implementation energy metrics achieved more than 10 % improvement in their energy-related objectives. The analysis results also highlight that a large fraction of the FDD and VM studies did not follow a measurement and verification procedure to quantify energy-related performance improvements upon field implementation. 90 % of the papers did not include feedback from building operators or occupants after the implementation.</t>
  </si>
  <si>
    <t xml:space="preserve">ORI-083</t>
  </si>
  <si>
    <t xml:space="preserve">A critical review of safe reinforcement learning strategies in power and energy systems</t>
  </si>
  <si>
    <t xml:space="preserve">Bui, Van-Hai; Mohammadi, Sina; Das, Srijita; Hussain, Akhtar; Hollweg, Guilherme Vieira; Su, Wencong</t>
  </si>
  <si>
    <t xml:space="preserve">Engineering Applications of Artificial Intelligence</t>
  </si>
  <si>
    <t xml:space="preserve">10.1016/j.engappai.2025.110091</t>
  </si>
  <si>
    <t xml:space="preserve">Did not satisfy all centrality, publication-type, or scope criteria in the final eligibility assessment</t>
  </si>
  <si>
    <t xml:space="preserve">The high penetration of distributed energy resources (DERs) in modern smart power systems introduces unforeseen uncertainties for the electricity sector, leading to increased complexity and difficulty in the operation and control of power systems. As a cutting-edge machine learning technology, deep reinforcement learning (DRL) has been widely implemented in recent years to handle the uncertainty in power systems. However, in critical infrastructures such as power systems, safety issues always receive top priority, while DRL may not always meet the safety requirements of power system operators. The concept of safe reinforcement learning (safe RL) is emerging as a potential solution to overcome the shortcomings of conventional DRL in the operation and control of power systems. This study provides a rigorous review of the latest research efforts focused on safe RL to derive power system control policies while accounting for the unique safety requirements of power grids. Furthermore, this study highlights various safe RL algorithms applied in diverse applications within the power and energy system sector, from single grid-connected power converters, residential smart homes, and buildings to large power distribution networks. For all methods outlined, a discussion on their bottlenecks, research challenges, and potential opportunities in the operation and control of power system applications is also presented. This review aims to support research in the area of safe RL algorithms, embracing smart power system operation with safety constraints amid high uncertainty from DERs.</t>
  </si>
  <si>
    <t xml:space="preserve">ORI-037</t>
  </si>
  <si>
    <t xml:space="preserve">A Meta-Survey on Intelligent Energy-Efficient Buildings</t>
  </si>
  <si>
    <t xml:space="preserve">Islam, MB; Guerrieri, A; Gravina, R; Fortino, G</t>
  </si>
  <si>
    <t xml:space="preserve">BIG DATA AND COGNITIVE COMPUTING</t>
  </si>
  <si>
    <t xml:space="preserve">10.3390/bdcc8080083</t>
  </si>
  <si>
    <t xml:space="preserve">ORI-170</t>
  </si>
  <si>
    <t xml:space="preserve">A multi-faceted approach to electricity theft detection: Using community engagement, audit analytics, and machine learning algorithms</t>
  </si>
  <si>
    <t xml:space="preserve">C. A. Sibiya; K. A. Ogudo; E. Aladesanmi</t>
  </si>
  <si>
    <t xml:space="preserve">SAIEE Africa Research Journal</t>
  </si>
  <si>
    <t xml:space="preserve">10.23919/saiee.2026.11484067</t>
  </si>
  <si>
    <t xml:space="preserve">Not an eligible review/survey publication</t>
  </si>
  <si>
    <t xml:space="preserve">Electricity theft represents a significant source of non-technical losses (NTLs) in power distribution networks, leading to substantial financial deficits, grid instability, and safety concerns. This study introduces a machine learning-based methodology to detect and predict electricity theft by examining residential consumption patterns in Pietermaritzburg Municipality, South Africa. Utilising meter data from approximately 42,000 customers, of whom 21,935 made at least one electricity purchase over a five-year period (2019-2024), the research evaluates five machine learning techniques: decision trees, logistic regression, K-nearest neighbours, XGBoost, and random forests. The approach integrates survey data, audit outcomes, and audit evaluations for a holistic analysis. Results indicate that Random Forest outperforms other models, achieving the highest scores across accuracy (0.8), precision (0.75), recall (0.9), and F1-score (0.82) for detecting tampering. Survey findings reveal that 85.0% of respondents link theft to financial hardship, underscoring socio-economic influences. This study provides utilities with practical insights to reduce NTLs, enhance grid reliability, and foster sustainable energy management.</t>
  </si>
  <si>
    <t xml:space="preserve">ORI-077</t>
  </si>
  <si>
    <t xml:space="preserve">A review of advanced ground source heat pump control: Artificial intelligence for autonomous and adaptive control</t>
  </si>
  <si>
    <t xml:space="preserve">Noye, Sarah; Mulero Martinez, Rubén; Carnieletto, Laura; De Carli, Michele; Castelruiz Aguirre, Amaia</t>
  </si>
  <si>
    <t xml:space="preserve">Renewable and Sustainable Energy Reviews</t>
  </si>
  <si>
    <t xml:space="preserve">10.1016/j.rser.2021.111685</t>
  </si>
  <si>
    <t xml:space="preserve">Geothermal energy has the potential to contribute significantly to the CO2 reduction targets as a renewable source for building heating and cooling but is yet under exploited, mostly due to its high initial investment cost. A lot of research is being carried out to optimise Ground Source Heat Pump (GSHP) systems’ design, but a good control strategy is also fundamental to achieve long-term performance and reduced payback time. GSHP control optimisation is a non-linear dynamic optimisation problem that is influenced by multiple parameters. It can thus not be fully optimised with traditional methods. Artificial Intelligence, and in particular Machine Learning, is suited for this type of optimisation as it can learn implicit relations between parameters and can address non-linearity. This paper reviews the challenges of GSHP control and the strategies for control optimisation found in the literature, from basic rule-based system to artificial neural network-based strategies. Two principal uses of Artificial Intelligence for ground source heat pump control are identified: building a predictive model of the system that reflects its real performances and optimising the control decision in real time. However, the examples found in the literature are limited and the need to further explore the benefits of Machine Learning is identified. The latest developments in the field are reviewed to explore their potential to further improve GSHP control. The challenges of the full implementation of such algorithms are also discussed.</t>
  </si>
  <si>
    <t xml:space="preserve">ORI-042</t>
  </si>
  <si>
    <t xml:space="preserve">A review of building climate and plant controls, and a survey of industry perspectives</t>
  </si>
  <si>
    <t xml:space="preserve">Royapoor, M; Antony, A; Roskilly, T</t>
  </si>
  <si>
    <t xml:space="preserve">ENERGY AND BUILDINGS</t>
  </si>
  <si>
    <t xml:space="preserve">10.1016/j.enbuild.2017.10.022</t>
  </si>
  <si>
    <t xml:space="preserve">ORI-027</t>
  </si>
  <si>
    <t xml:space="preserve">Web of Science; IEEE Xplore</t>
  </si>
  <si>
    <t xml:space="preserve">Include</t>
  </si>
  <si>
    <t xml:space="preserve">Eligible in the pre-existing coded corpus</t>
  </si>
  <si>
    <t xml:space="preserve">Full-text eligibility</t>
  </si>
  <si>
    <t xml:space="preserve">Final corpus</t>
  </si>
  <si>
    <t xml:space="preserve">wos_final.ris; ieee_final.ris</t>
  </si>
  <si>
    <t xml:space="preserve">ORI-034</t>
  </si>
  <si>
    <t xml:space="preserve">A Review of Denial of Service Attack and Mitigation in the Smart Grid Using Reinforcement Learning</t>
  </si>
  <si>
    <t xml:space="preserve">Ortega-Fernandez, I; Liberati, F</t>
  </si>
  <si>
    <t xml:space="preserve">10.3390/en16020635</t>
  </si>
  <si>
    <t xml:space="preserve">ORI-075</t>
  </si>
  <si>
    <t xml:space="preserve">The area of building energy management has received a significant amount of interest in recent years. This area is concerned with combining advancements in sensor technologies, communications and advanced control algorithms to optimize energy utilization. Reinforcement learning is one of the most prominent machine learning algorithms used for control problems and has had many successful applications in the area of building energy management. This research gives a comprehensive review of the literature relating to the application of reinforcement learning to developing autonomous building energy management systems. Energy savings of greater than 20% are reported in the literature for more complex building energy management problems when implementing reinforcement learning. The main direction for future research and challenges in reinforcement learning are also outlined.</t>
  </si>
  <si>
    <t xml:space="preserve">ORI-022</t>
  </si>
  <si>
    <t xml:space="preserve">Web of Science; ScienceDirect</t>
  </si>
  <si>
    <t xml:space="preserve">wos_final.ris; ScienceDirect_citations_1783952383784(1).ris</t>
  </si>
  <si>
    <t xml:space="preserve">Energy efficient control of energy systems in buildings is a widely recognized challenge due to the use of low temperature heating, renewable electricity sources, and the incorporation of thermal storage. Reinforcement Learning (RL) has been shown to be effective at minimizing the energy usage in buildings with maintained thermal comfort despite the high system complexity. However, RL has certain disadvantages that make it challenging to apply in engineering practices. In this review, we take a computer science approach to identifying three main categories of challenges of using RL for control of Building Energy Systems (BES). The three categories are the following: RL in single buildings, RL in building clusters, and multi-agent aspects. For each topic, we analyse the main challenges, and the state-of-the-art approaches to alleviate them. We also identify several future research directions on subjects such as sample efficiency, transfer learning, and the theoretical properties of RL in building energy systems. In conclusion, our review shows that the work on RL for BES control is still in its initial stages. Although significant progress has been made, more research is needed to realize the goal of RL-based control of BES at scale.</t>
  </si>
  <si>
    <t xml:space="preserve">ORI-093</t>
  </si>
  <si>
    <t xml:space="preserve">A review of reinforcement learning methodologies for controlling occupant comfort in buildings</t>
  </si>
  <si>
    <t xml:space="preserve">Han, Mengjie; May, Ross; Zhang, Xingxing; Wang, Xinru; Pan, Song; Yan, Da; Jin, Yuan; Xu, Liguo</t>
  </si>
  <si>
    <t xml:space="preserve">10.1016/j.scs.2019.101748</t>
  </si>
  <si>
    <t xml:space="preserve">Identified during revision; this record had been mislabelled as the coded Han corpus member, and the coded member is Han et al. (2021), ORI-059. Excluded under the Independence criterion as a companion report of the same review programme. Han et al. (2021), the coded corpus member, states in its own Section 2.2 that "an agent that tried to learn the optimal control strategy only to satisfy occupant comfort and did not include dynamic interactions with the environment was excluded from this analysis. See a relevant review work [24] that examined the RL control for occupant comfort for more articles that we exclude here", where its reference [24] is this record. The two reviews therefore partition one evidence base between them. Because the unit of analysis in this tertiary review is the review, counting both companion reports would double-weight one team's editorial choices in every research-question denominator. The later report, whose scope is RL within building control with occupant behaviour inside the MDP, is retained.</t>
  </si>
  <si>
    <t xml:space="preserve">Classical building control systems are becoming vulnerable with increasing complexities in contemporary built environments and energy systems. Due to this, the reinforcement learning (RL) method is becoming more distinctive and applicable in control networks for buildings. This paper, therefore, conducts a comprehensive review of RL techniques applied in control systems for occupant comfort in indoor built environments. The empirical applications of RL-based control systems are presented, depending on comfort objectives (thermal comfort, indoor air quality, and lighting) along with other objectives which invariably includes energy consumption. The class of RL algorithms and implementation details regarding how the value functions have been represented and how the policies are improved are also illustrated. This paper shows there are limited works for which RL has been explored for controlling occupant comfort, especially in indoor air quality and lighting. Relatively few of the reviewed works incorporate occupancy patterns and/or occupant feedback into the control loop. Moreover, this paper identifies a gap with regard to the performance of implementing cooperative multi-agent RL (MARL). Based on our findings, current challenges and further opportunities are discussed. We expect to clarify the feasible theory and functions of RL for building control systems, which would promote their wider-spread application in built environments.</t>
  </si>
  <si>
    <t xml:space="preserve">ORI-144</t>
  </si>
  <si>
    <t xml:space="preserve">A Review of Safe Reinforcement Learning Methods for Modern Power Systems</t>
  </si>
  <si>
    <t xml:space="preserve">T. Su; T. Wu; J. Zhao; A. Scaglione; L. Xie</t>
  </si>
  <si>
    <t xml:space="preserve">Proceedings of the IEEE</t>
  </si>
  <si>
    <t xml:space="preserve">10.1109/jproc.2025.3584656</t>
  </si>
  <si>
    <t xml:space="preserve">Given the availability of more comprehensive measurement data in modern power systems, reinforcement learning (RL) has gained significant interest in operation and control. Conventional RL relies on trial-and-error interactions with the environment and reward feedback, which often leads to exploring unsafe operating regions and executing unsafe actions, especially when deployed in real-world power systems. To address these challenges, safe RL has been proposed to optimize operational objectives while ensuring safety constraints are met, keeping actions and states within safe regions throughout both training and deployment. Rather than relying solely on manually designed penalty terms for unsafe actions, as is common in conventional RL, safe RL methods reviewed here primarily leverage advanced and proactive mechanisms. These include techniques such as Lagrangian relaxation, safety layers, and theoretical guarantees like Lyapunov functions to rigorously enforce safety boundaries. This article provides a comprehensive review of safe RL methods and their applications across various power system operations and control domains, including security control, real-time operation, operational planning, and emerging areas. It summarizes existing safe RL techniques, evaluates their performance, analyzes suitable deployment scenarios, and examines algorithm benchmarks and application environments. This article also highlights real-world implementation cases and identifies critical challenges such as scalability in large-scale systems and robustness under uncertainty, providing potential solutions and outlining future directions to advance the reliable integration and deployment of safe RL in modern power systems.</t>
  </si>
  <si>
    <t xml:space="preserve">ORI-138</t>
  </si>
  <si>
    <t xml:space="preserve">A Review on Optimal Energy Management of Multimicrogrid System Considering Uncertainties</t>
  </si>
  <si>
    <t xml:space="preserve">G. Ma; J. Li; X. -P. Zhang</t>
  </si>
  <si>
    <t xml:space="preserve">10.1109/access.2022.3192638</t>
  </si>
  <si>
    <t xml:space="preserve">Microgrid (MG) is one of the most effective solution to integrate distributed renewable energy into power system. However, modern MG has several technical challenges such as migration to multi vector energy system, increasing renewable energy penetration, and the uncertainties that arise from the large-scale incorporation of renewable energy. Recent development of multi-microgrid (MMG) could potentially mitigate these challenges. MMG has obvious advantages in improving the system stability, reliability, economy, and energy efficiency of power grid operation through autonomous management and coordinated control among networked MGs. In the meantime, uncertainties from many elements and operators in the MMG system also pose huge challenges in modeling. This paper will present and review typical architecture of MMG, including physical layer, information layer and application layer. Moreover, this paper will critically review and analyze challenges in uncertainty modelling and solution in MMGs. Finally, the paper will also discuss future research areas and development trends of MMG.</t>
  </si>
  <si>
    <t xml:space="preserve">ORI-038</t>
  </si>
  <si>
    <t xml:space="preserve">A state-of-the-art review and bibliometric analysis on the sizing optimization of off-grid hybrid renewable energy systems</t>
  </si>
  <si>
    <t xml:space="preserve">He, Y; Guo, S; Dong, PX; Zhang, Y; Huang, J; Zhou, JX</t>
  </si>
  <si>
    <t xml:space="preserve">10.1016/j.rser.2023.113476</t>
  </si>
  <si>
    <t xml:space="preserve">ORI-032</t>
  </si>
  <si>
    <t xml:space="preserve">A survey for deep reinforcement learning in markovian cyber-physical systems: Common problems and solutions</t>
  </si>
  <si>
    <t xml:space="preserve">Rupprecht, T; Wang, YZ</t>
  </si>
  <si>
    <t xml:space="preserve">NEURAL NETWORKS</t>
  </si>
  <si>
    <t xml:space="preserve">10.1016/j.neunet.2022.05.013</t>
  </si>
  <si>
    <t xml:space="preserve">ORI-031</t>
  </si>
  <si>
    <t xml:space="preserve">A Survey of Intelligent End-to-End Networking Solutions: Integrating Graph Neural Networks and Deep Reinforcement Learning Approaches</t>
  </si>
  <si>
    <t xml:space="preserve">Tam, P; Ros, S; Song, I; Kang, S; Kim, S</t>
  </si>
  <si>
    <t xml:space="preserve">ELECTRONICS</t>
  </si>
  <si>
    <t xml:space="preserve">10.3390/electronics13050994</t>
  </si>
  <si>
    <t xml:space="preserve">ORI-149</t>
  </si>
  <si>
    <t xml:space="preserve">A Survey of Multi-Agent Reinforcement Learning for Cooperative Control in Multi-AUV Systems</t>
  </si>
  <si>
    <t xml:space="preserve">A. Wibisono; H. -K. Song; B. M. Lee</t>
  </si>
  <si>
    <t xml:space="preserve">10.1109/access.2025.3609457</t>
  </si>
  <si>
    <t xml:space="preserve">The increasing demand for adaptive and autonomous smart ocean systems has accelerated the deployment of Autonomous Underwater Vehicles (AUVs) in various complex underwater missions, including collaborative navigation, target tracking, data collection, and energy management. To address the inherent challenges of the underwater environment, such as the limitations of acoustic communication, unpredictable environmental dynamics, and partial observability, Multi-Agent Reinforcement Learning (MARL) with the Centralized Training with Decentralized Execution (CTDE) paradigm has emerged as a promising solution. This paper presents a focused survey on MARL algorithms and their applications in multi-AUV systems. We classify the algorithms into value-based approaches (e.g., VDN and QMIX), policy-based approaches (e.g., Multi-Agent Deep Deterministic Policy Gradient (MADDPG) and Multi-Agent Proximal Policy Optimization (MAPPO)), and hybrid approaches that support explicit communication (e.g., CommNet, DIAL, and ROMA). We further review several relevant simulation environments, such as PettingZoo, UWSim, and Gazebo, along with underwater acoustic channel modeling and key performance metrics used for system evaluation. Complementing the survey study, we present representative experiments in data collection and energy efficiency scenarios using MADDPG and MAPPO algorithms. The results include comparative analyses of average reward, overflow, Flight eXceedance (FX), and energy consumption, accompanied by trajectory visualizations in a grid-based simulation environment. Finally, we provide a synthesis of future research directions, including the integration of Meta-Reinforcement Learning (Meta-RL), graph-based role allocation, and 3D physics-based simulator training, to strengthen the adoption of MARL in autonomous ocean systems. This survey is expected to serve as a reference point for further research in developing AUVs that are smarter, more collaborative, and resilient to extreme conditions.</t>
  </si>
  <si>
    <t xml:space="preserve">ORI-159</t>
  </si>
  <si>
    <t xml:space="preserve">A survey on algorithms for intelligent computing and smart city applications</t>
  </si>
  <si>
    <t xml:space="preserve">Z. Tong; F. Ye; M. Yan; H. Liu; S. Basodi</t>
  </si>
  <si>
    <t xml:space="preserve">Big Data Mining and Analytics</t>
  </si>
  <si>
    <t xml:space="preserve">10.26599/bdma.2020.9020029</t>
  </si>
  <si>
    <t xml:space="preserve">With the rapid development of human society, the urbanization of the world's population is also progressing rapidly. Urbanization has brought many challenges and problems to the development of cities. For example, theurban population is under excessive pressure, various natural resources and energy are increasingly scarce, and environmental pollution is increasing, etc. However, the original urban model has to be changed to enable peopleto live in greener and more sustainable cities, thus providing them with a more convenient and comfortable living environment. The new urban framework, the smart city, provides excellent opportunities to meet these challenges, while solving urban problems at the same time. At this stage, many countries are actively responding to calls for smart city development plans. This paper investigates the current stage of the smart city. First, it introduces the background of smart city development and gives a brief definition of the concept of the smart city. Second, it describes the framework of a smart city in accordance with the given definition. Finally, various intelligent algorithms to make cities smarter, along with specific examples, are discussed and analyzed.</t>
  </si>
  <si>
    <t xml:space="preserve">ORI-029</t>
  </si>
  <si>
    <t xml:space="preserve">A Sustainability Evaluation of Buildings: A Review on Sustainability Factors to Move towards a Greener City Environment</t>
  </si>
  <si>
    <t xml:space="preserve">Park, S; Cho, KH; Choi, MI</t>
  </si>
  <si>
    <t xml:space="preserve">BUILDINGS</t>
  </si>
  <si>
    <t xml:space="preserve">10.3390/buildings14020446</t>
  </si>
  <si>
    <t xml:space="preserve">ORI-119</t>
  </si>
  <si>
    <t xml:space="preserve">A systematic review of building energy performance forecasting approaches</t>
  </si>
  <si>
    <t xml:space="preserve">Yang, Yizhou; Duan, Qiuhua; Samadi, Forooza</t>
  </si>
  <si>
    <t xml:space="preserve">10.1016/j.rser.2025.116061</t>
  </si>
  <si>
    <t xml:space="preserve">Building energy performance forecasting (BEPF) is an active area of research with the potential to improve the efficiency of building energy management systems, support global sustainability goals, and mitigate climate change impacts. This systematic review examines three main prediction methods: model-driven, data-driven, and hybrid-driven, each with different principles, basics, advantages, disadvantages, practical applications, challenges, and limitations in addressing the complexities of building energy performance. The review focuses on key influencing factors, including building features, climatic conditions, and occupant behavior, while identifying critical research gaps in current methodologies. Through a bibliometric analysis of 95 relevant publications from 2019 to 2024, this review provides a quantitative overview of research progress and emerging trends. Findings indicate that although BEPF techniques have evolved rapidly, most studies continue to overlook the variability and complexity of occupant behavior, a factor with significantly affects forecast accuracy. To address this, we propose a modular AI-integrated forecasting framework that leverages the strengths of existing approaches, integrates real-time IoT data, and incorporate advanced artificial intelligence techniques, such as generative Artificial Intelligence, reinforcement learning, and Large Language Models (LLMs). A decision-making framework is also introduced to guide method selection based on specific building characteristics, data availability, desired accuracy, and operational goals, offering practical guidance for engineering and policy applications. Additionally, future research should extend beyond individual building dynamics to include a wider range of community-level determinants, such as policy frameworks, economic factors, and social determinants of health considerations (SDOH), aiming for a more comprehensive understanding of building energy consumption patterns. This review not only synthesizes current knowledge but also lays the foundation for future innovations in BEPF. We advocate for moving towards an AI-enhanced, adaptive forecasting model that can integrate different driven methods, capture the variability and unpredictability of occupant behavior, and improve the accuracy and reliability of energy forecasts.</t>
  </si>
  <si>
    <t xml:space="preserve">ORI-050</t>
  </si>
  <si>
    <t xml:space="preserve">A systematic review of machine learning techniques related to local energy communities</t>
  </si>
  <si>
    <t xml:space="preserve">Hernandez-Matheus, A; Löschenbrand, M; Berg, K; Fuchs, I; Aragüés-Peñalba, M; Bullich-Massagué, E; Sumper, A</t>
  </si>
  <si>
    <t xml:space="preserve">10.1016/j.rser.2022.112651</t>
  </si>
  <si>
    <t xml:space="preserve">ORI-099</t>
  </si>
  <si>
    <t xml:space="preserve">A systematic review of predictive, optimization, and smart control strategies for hydrogen-based building heating systems</t>
  </si>
  <si>
    <t xml:space="preserve">Kaabinejadian, Amirreza; Pozarlik, Artur; Acar, Canan</t>
  </si>
  <si>
    <t xml:space="preserve">10.1016/j.apenergy.2024.124994</t>
  </si>
  <si>
    <t xml:space="preserve">The use of energy in the built environment contributes to over one-third of the world's carbon emissions. To reduce that effect, two primary solutions can be adopted, i.e. (i) renovation of old buildings and (ii) increasing the renewable energy penetration. This review paper focuses on the latter. Renewable energy sources typically have an intermittent nature. In other words, it is not guaranteed that these sources can be harnessed on demand. Thus, complement solutions should be considered to use renewable energy sources efficiently. Hydrogen is recognized as a potential solution. It can be used to store excess energy or be directly exploited to generate thermal energy. Throughout this review, various research papers focusing on hydrogen-based heating systems were reviewed, analyzed, and classified from different perspectives. Subsequently, articles related to machine learning models, optimization algorithms, and smart control systems, along with their applications in building energy management were reviewed to outline their potential contributions to reducing energy use, lowering carbon emissions, and improving thermal comfort for occupants. Furthermore, research gaps in the use of these smart strategies in residential hydrogen heating systems were thoroughly identified and discussed. The presented findings indicate that the semi-decentralized hydrogen-based heating systems hold significant potential. First, these systems can control the thermal demand of neighboring homes through local substations; second, they can reduce reliance on power and gas grids. Furthermore, the model predictive control and reinforcement learning approaches outperform other control systems ensuring energy comfort and cost-effective energy bills for residential buildings.</t>
  </si>
  <si>
    <t xml:space="preserve">ORI-069</t>
  </si>
  <si>
    <t xml:space="preserve">A systematic review of reinforcement learning application in building energy-related occupant behavior simulation</t>
  </si>
  <si>
    <t xml:space="preserve">Yu, Hao; Tam, Vivian W.Y.; Xu, Xiaoxiao</t>
  </si>
  <si>
    <t xml:space="preserve">10.1016/j.enbuild.2024.114189</t>
  </si>
  <si>
    <t xml:space="preserve">The building and construction industry has consistently been a major contributor to energy consumption and carbon emissions. With stochastic interactions between occupants and building energy systems, the operational phase has emerged as the most energy-intensive stage throughout a building’s lifecycle. In the face of challenges posed by traditional control strategies, reinforcement learning distinguishes itself with its capacity to effectively characterize dynamic occupant-building interactions and iteratively generate optimal control strategies through self-learning. However, the valuable knowledge about reinforcement learning applications scattered in the growing body of occupant behavior research has not been systematically integrated. As a result, this research innovatively combines bibliometrics and content analysis to provide a systematic review aiming to answer how reinforcement learning can be effectively adopted in occupant-centric building energy management based on existing knowledge. The state-of-the-art developments in related domains and a taxonomy of reinforcement learning are introduced based on the dissection of core concepts in occupant behavior and reinforcement learning. Subsequently, a novel framework for the complete application process of reinforcement learning in the domain of occupant energy-related behavior is originally proposed, providing potential researchers with rich existing knowledge and guidance. Moreover, future breakthroughs in framework design, data collection, agent training, and deployment are inspired through systematically concluded future directions, thus laying a solid foundation to better satisfy occupant comfort with optimal energy efficiency.</t>
  </si>
  <si>
    <t xml:space="preserve">ORI-066</t>
  </si>
  <si>
    <t xml:space="preserve">Eligible journal review centered on RL-based operational scheduling and energy management of BIPV systems, rather than PV sizing or placement</t>
  </si>
  <si>
    <t xml:space="preserve">Building-Integrated Photovoltaic (BIPV), as an emerging clean energy solution, plays a crucial role in energy saving, emission reduction, and grid load regulation. However, due to the uncertainty of dynamic environments and the complexity of multiple sensitive parameters, traditional scheduling methods fail to achieve optimal results. Considering that reinforcement learning, as an advanced research approach, demonstrates great potential in decision-making for high-dimensional problems and stability in dynamic environments, integrating reinforcement learning with BIPV is a feasible solution to address scheduling challenges in BIPV systems. However, there is still a lack of comprehensive analysis and systematic understanding of reinforcement learning applications in the BIPV field, which, to some extent, limits its further development in the BIPV domain. To this end, this review conducts an in-depth analysis of the effectiveness of reinforcement learning in BIPV applications from the perspective of the system construction life cycle. By considering the algorithm modeling life cycle of reinforcement learning, it comprehensively examines the potential issues in its application to BIPV, highlighting the challenges faced by existing research and future applications. Additionally, this paper integrates cutting-edge reinforcement learning knowledge, summarizes and categorizes its potential applications in BIPV, providing reference guidance for future research directions. Through this systematic review of reinforcement learning applications in the BIPV field, this study aims to offer valuable insights for subsequent research.</t>
  </si>
  <si>
    <t xml:space="preserve">ORI-028</t>
  </si>
  <si>
    <t xml:space="preserve">A systematic survey on demand response management schemes for electric vehicles</t>
  </si>
  <si>
    <t xml:space="preserve">Kakkar, R; Agrawal, S; Tanwar, S</t>
  </si>
  <si>
    <t xml:space="preserve">10.1016/j.rser.2024.114748</t>
  </si>
  <si>
    <t xml:space="preserve">ORI-082</t>
  </si>
  <si>
    <t xml:space="preserve">Advanced controls on energy reliability, flexibility and occupant-centric control for smart and energy-efficient buildings</t>
  </si>
  <si>
    <t xml:space="preserve">Liu, Zhengxuan; Zhang, Xiang; Sun, Ying; Zhou, Yuekuan</t>
  </si>
  <si>
    <t xml:space="preserve">10.1016/j.enbuild.2023.113436</t>
  </si>
  <si>
    <t xml:space="preserve">Advanced controls have attracted increasing interests due to the high requirement on smart and energy-efficient (SEE) buildings and decarbonization in the building industry with optimal tradeoff strategies between energy consumption and thermal comfort of built environment. However, a state-of-the-art review is lacking on advanced controls for SEE buildings, especially considering advanced building energy systems, machine learning based advanced controls, and advanced occupant-centric controls (OCC). This study presents a comprehensive review on the latest advancement of advanced controls for SEE buildings, which covers recent research on data collection through smart metering and sensors, big data and building automation, energy digitization, and building energy simulation. Machine learning based advanced controls are comprehensively reviewed, including supervised, unsupervised and reinforcement learning, together with their roles and underlying mechanisms. In addition, advanced controls for energy security, reliability, robustness, flexibility, and resilience are further reviewed for energy-efficient and low-carbon buildings, with respect to fault detection and diagnosis, fire alarming and building energy safety, and climate change adaptation. Moreover, this study explores the advanced OCC systems and their applications in SEE buildings. Last but not the least, this study emphasizes the challenges and future prospects of the trade-off between complexity and predictive/control performance, AI-based controllers and climate change adaptation, OCC in thermal comfort and energy saving for the SEE buildings. This study offers valuable insights into the latest research progress concerning the underlying mechanisms, algorithms and applications of advanced controls for SEE buildings, paving the path for sustainable and low-carbon transition in building sectors.</t>
  </si>
  <si>
    <t xml:space="preserve">ORI-023</t>
  </si>
  <si>
    <t xml:space="preserve">Advances of machine learning in multi-energy district communities‒ mechanisms, applications and perspectives</t>
  </si>
  <si>
    <t xml:space="preserve">Zhou, Yuekuan</t>
  </si>
  <si>
    <t xml:space="preserve">Energy and AI</t>
  </si>
  <si>
    <t xml:space="preserve">10.1016/j.egyai.2022.100187</t>
  </si>
  <si>
    <t xml:space="preserve">Energy paradigm transition towards the carbon neutrality requires combined and continuous efforts in cleaner power production, advanced energy storages, flexible district energy demands and energy management strategies. Applications of cutting-edge machine learning techniques can improve the system reliability with advanced fault detection and diagnosis (FDD, automation with agent-based reinforcement learning, flexibility with model predictive controls, and so on. In this study, a comprehensive review on artificial intelligence applications in carbon-neutral district community, has been conducted, from perspectives of energy supply, energy storage, district demands and energy management. Classifications and underlying mechanisms on ML techniques have been demonstrated, including supervised, unsupervised, reinforcement and deep learning. Afterwards, practical applications of ML have been reviewed, in respect to renewable energy supply, hybrid energy storages, district energy demand and advanced energy management. Results indicate that, supervised learning was mainly applied in classification and regression, and unsupervised learning was mainly applied in clustering. The reinforcement learning is mainly applied in on-line optimal scheduling for building energy management. With respect to clean energy supply, ML in solar and wind energy systems mainly include solar irradiance forecasting, wind resource forecasting, PV power prediction, maximum power point tracking (MPPT) for smart control, fault detection and diagnosis. ML in fuel cells mainly includes performance prediction, material selection, combination and so on. Furthermore, in respect to hybrid energy storages, ML in electrochemical battery includes dynamic thermal/electrical behavior, battery sizing and optimization, state-of-charge prediction, battery lifetime estimation, fault detection and diagnosis analysis. ML in sensible energy storages mainly include load prediction and storage capacity sizing, dynamic scheduling for cost saving, thermal stratification analysis and dynamic performance prediction. Advances in energy management with ML mainly include dispatch on stochastic and intermittent renewable power, microgrid adaptive control, smart energy trading with controls and decision-marking. Research tendency over the recent past several years indicates that, critical areas for low-carbon energy systems transit from the only renewable systems (59.4% in 2016) towards both renewable energy supply and energy storages (35.1% and 34.1%, respectively), such as battery, capacitors/supercapacitors, sensible/latent heat storages, compressed air storage and hydrogen storage. This study can provide a holistic overview and in-depth thinking on artificial intelligence in the carbon-neutral district transition.</t>
  </si>
  <si>
    <t xml:space="preserve">ORI-152</t>
  </si>
  <si>
    <t xml:space="preserve">Advancing Power System Services With Privacy-Preserving Federated Learning Techniques: A Review</t>
  </si>
  <si>
    <t xml:space="preserve">R. Zheng; A. Sumper; M. Aragüés-Peñalba; S. Galceran-Arellano</t>
  </si>
  <si>
    <t xml:space="preserve">10.1109/access.2024.3407121</t>
  </si>
  <si>
    <t xml:space="preserve">Digitalization has enabled the potential for artificial intelligence techniques to lead the power system to a sustainable transition by extracting the data generated by widely deployed edge devices, including advanced sensing and metering. Due to the increasing concerns about data privacy, federated learning has attracted much attention and is emerging as an innovative application for machine learning solutions in the power and energy sector. This paper presents a holistic analysis of federated learning applications in the energy sector, ranging from applications in generation, microgrids, and distribution systems to the energy market and cyber security. The following federated learning-based services for energy sectors are analyzed: non-intrusive load monitoring, fault detection, energy theft detection, demand forecasting, generation forecasting, energy management systems, voltage control, anomaly detection, and energy trading. The identification and classification of the data-driven methods are conducted in collaboration with federated learning implemented in these services. Furthermore, the interrelation is mapped between the categories of machine learning, data-driven techniques, the application domain, and application services. Finally, the future opportunities and challenges of applying federated learning in the energy sector will be discussed.</t>
  </si>
  <si>
    <t xml:space="preserve">ORI-169</t>
  </si>
  <si>
    <t xml:space="preserve">Advancing State of Charge Management in Electric Vehicles With Machine Learning: A Technological Review</t>
  </si>
  <si>
    <t xml:space="preserve">A. Mousaei; Y. Naderi; I. S. Bayram</t>
  </si>
  <si>
    <t xml:space="preserve">10.1109/access.2024.3378527</t>
  </si>
  <si>
    <t xml:space="preserve">As the share of electric vehicles increases, electric vehicles are exposed to broader of driving conditions (e.g., extreme weather), which reduce the performance and driving ranges of electric vehicles below their nameplate rating. To ensure customer confidence and support steady growth in electric vehicle adoption rates, accurate estimation of battery state of charge and maintaining battery state of health through optimal charge/discharge decisions are critical. Recently, vehicle manufacturers have begun to employ machine learning techniques to improve state-of-charge management to better inform drivers about both the short-term (state of charge) and long-term (state of health) performance of their vehicles. This comprehensive review article explores the intersection of machine learning and state of charge management in electric vehicles. Recognizing the critical importance of the state of charge in optimizing electric vehicle performance, the article starts by evaluating traditional state of charge estimation methods. Subsequently, it delves into the transformative impact of machine learning techniques and associated algorithms on state of charge management. Through the lens of various case studies, this article demonstrates how machine learning-based state of charge estimation empowers electric vehicles to make informed and dynamic energy usage decisions, enhancing efficiency and extending battery life. The challenges of data availability, model interpretability, and real-time processing constraints are acknowledged as impediments to the widespread adoption of machine learning techniques. Despite these challenges, the future outlook for machine learning in the state of charge management appears promising, with emerging trends such as deep learning and reinforcement learning poised to refine the state of charge estimation accuracy. Moreover, this study sheds light on the transformative potential of machine learning in enhancing the state of charge management efficiency and effectiveness for electric vehicles, offering critical insights. Machine learning emerges as a game-changing force in state of charge management for electric vehicles, paving the way for intelligent and adaptive vehicles that are both environmentally friendly and efficient. This evolving field invites further research and development, making it a vital and exciting area within the automotive industry.</t>
  </si>
  <si>
    <t xml:space="preserve">ORI-054</t>
  </si>
  <si>
    <t xml:space="preserve">AI Applications to Enhance Resilience in Power Systems and Microgrids-A Review</t>
  </si>
  <si>
    <t xml:space="preserve">Zahraoui, Y; Korotko, T; Rosin, A; Mekhilef, S; Seyedmahmoudian, M; Stojcevski, A; Alhamrouni, I</t>
  </si>
  <si>
    <t xml:space="preserve">SUSTAINABILITY</t>
  </si>
  <si>
    <t xml:space="preserve">10.3390/su16124959</t>
  </si>
  <si>
    <t xml:space="preserve">ORI-033</t>
  </si>
  <si>
    <t xml:space="preserve">AI-Empowered Methods for Smart Energy Consumption: A Review of Load Forecasting, Anomaly Detection and Demand Response</t>
  </si>
  <si>
    <t xml:space="preserve">Wang, XL; Wang, H; Bhandari, B; Cheng, LM</t>
  </si>
  <si>
    <t xml:space="preserve">INTERNATIONAL JOURNAL OF PRECISION ENGINEERING AND MANUFACTURING-GREEN TECHNOLOGY</t>
  </si>
  <si>
    <t xml:space="preserve">10.1007/s40684-023-00537-0</t>
  </si>
  <si>
    <t xml:space="preserve">ORI-151</t>
  </si>
  <si>
    <t xml:space="preserve">AI-Enabled Energy Management for Sustainable Smart Greenhouses: An Integrated Review</t>
  </si>
  <si>
    <t xml:space="preserve">S. Ranjan Biswal; T. Roy Choudhury; B. Panda; S. Mishra</t>
  </si>
  <si>
    <t xml:space="preserve">10.1109/access.2026.3651685</t>
  </si>
  <si>
    <t xml:space="preserve">Greenhouse based Controlled Environment Agriculture enables year round crop production. Maintaining a specific microclimate requires a significant amount of energy for controlling the atmosphere under the environment. Rising electricity prices, irregular solar energy generation, and specific microclimate requirements create challenges in operations and the economic viability of the system, thus demanding smart energy optimization. This creates a technical need for advanced Demand Side Management (DSM) techniques capable of aligning load operation with forecasted demand, renewable output, and market signals. Traditional strategies such as fixed rules, time slot scheduling, or heuristic controls offer limited adaptability, lack robustness under uncertainty, and do not generalize across climate zones or crop requirements. Recent developments introduce hybrid AI driven DSM frameworks that combine forecasting, optimization, and autonomous control using approaches such as Deep Learning (DL) based predictors, Model Predictive Control schedulers, and exploration Reinforcement Learning policies to enhance renewable utilisation, reduce cost, and maintain microclimate stability. This review systematically analyzes these methodological shifts, comparing forecasting, scheduling, and control approaches in terms of predictive performance, computational overhead, and deployment feasibility. Recurring challenges including limited transferability across climates, insufficient reporting of techno economic outcomes, and weak validation against biological risk constraints are examined alongside potential solutions such as uncertainty quantification, domain adaptation, and assessment of reliability. The outlines research priorities standardised evaluation directions to support robust, scalable, and commercially relevant DSM adoption in smart greenhouse environments.</t>
  </si>
  <si>
    <t xml:space="preserve">ORI-058</t>
  </si>
  <si>
    <t xml:space="preserve">An overview of machine learning applications for smart buildings</t>
  </si>
  <si>
    <t xml:space="preserve">Alanne, Kari; Sierla, Seppo</t>
  </si>
  <si>
    <t xml:space="preserve">10.1016/j.scs.2021.103445</t>
  </si>
  <si>
    <t xml:space="preserve">Identified during revision. This record was previously mislabelled as the coded Sierla corpus member; the coded member is Sierla et al. (2022), Energies 15(10):3526, which appears only in the sensitivity export (SENS-036). The present record is a broad machine-learning overview in which RL is one method among several.</t>
  </si>
  <si>
    <t xml:space="preserve">ORI-026</t>
  </si>
  <si>
    <t xml:space="preserve">ORI-104</t>
  </si>
  <si>
    <r>
      <rPr>
        <sz val="11"/>
        <rFont val="Calibri"/>
        <family val="0"/>
        <charset val="1"/>
      </rPr>
      <t xml:space="preserve">Application and progress of artificial intelligence technology in the field of distribution network voltage Control</t>
    </r>
    <r>
      <rPr>
        <sz val="11"/>
        <rFont val="Noto Sans CJK SC"/>
        <family val="2"/>
      </rPr>
      <t xml:space="preserve">：</t>
    </r>
    <r>
      <rPr>
        <sz val="11"/>
        <rFont val="Calibri"/>
        <family val="0"/>
        <charset val="1"/>
      </rPr>
      <t xml:space="preserve">A review</t>
    </r>
  </si>
  <si>
    <t xml:space="preserve">Zhang, Xiao; Wu, Zhi; Sun, Qirun; Gu, Wei; Zheng, Shu; Zhao, Jingtao</t>
  </si>
  <si>
    <t xml:space="preserve">10.1016/j.rser.2024.114282</t>
  </si>
  <si>
    <t xml:space="preserve">The increasing integration of distributed energy resources has led to heightened complexity in distribution network models, posing challenges of uncertainty and volatility to the operation and control of distribution networks. Simultaneously, the widespread deployment of metering and sensing devices has furnished data-driven approaches with copious data sources. As a potent tool for data mining, artificial intelligence (AI) algorithms have the capacity to harness extensive datasets, thus furnishing comprehensive energy services for distribution grids. This paper provides a comprehensive exposition of AI techniques applied in the realm of distribution network voltage control (DNVC). Initially, a brief overview is provided for the four voltage control frameworks and the data calibration of DNVC, serving as the foundation for various voltage control algorithms. Subsequently, in ascending order of algorithmic advancement, the application of improved heuristic algorithms, deep learning (DL) algorithms structured around artificial neural networks (ANNs), and deep reinforcement learning (DRL) algorithms in the DNVC domain are sequentially introduced, and the relationships among the three AI technologies in framework, control principles, and performance are systematically analyzed. Additionally, attention is directed toward the algorithmic progress made in addressing specific challenges within the DNVC process. Lastly, building upon extant research, the paper summarizes four prominent developmental directions for AI in DNVC: safety exploration, information privacy, multi-feeder collaboration, and heightened uncertainty. Corresponding solutions to each of these directions are individually discussed.</t>
  </si>
  <si>
    <t xml:space="preserve">ORI-053</t>
  </si>
  <si>
    <t xml:space="preserve">Application of Automated Guided Vehicles in Smart Automated Warehouse Systems: A Survey</t>
  </si>
  <si>
    <t xml:space="preserve">Zhang, Z; Chen, J; Guo, Q</t>
  </si>
  <si>
    <t xml:space="preserve">CMES-COMPUTER MODELING IN ENGINEERING &amp; SCIENCES</t>
  </si>
  <si>
    <t xml:space="preserve">10.32604/cmes.2022.021451</t>
  </si>
  <si>
    <t xml:space="preserve">ORI-046</t>
  </si>
  <si>
    <t xml:space="preserve">Application of reinforcement learning in planning and operation of new power system towards carbon peaking and neutrality</t>
  </si>
  <si>
    <t xml:space="preserve">Sun, FY; Wang, ZW; Huang, JH; Diao, RS; Zhao, YR; Lan, T</t>
  </si>
  <si>
    <t xml:space="preserve">PROGRESS IN ENERGY</t>
  </si>
  <si>
    <t xml:space="preserve">10.1088/2516-1083/acb987</t>
  </si>
  <si>
    <t xml:space="preserve">ORI-035</t>
  </si>
  <si>
    <t xml:space="preserve">Applications of Agent-Based Methods in Multi-Energy Systems-A Systematic Literature Review</t>
  </si>
  <si>
    <t xml:space="preserve">Yao, RQ; Hu, YK; Varga, L</t>
  </si>
  <si>
    <t xml:space="preserve">10.3390/en16052456</t>
  </si>
  <si>
    <t xml:space="preserve">ORI-047</t>
  </si>
  <si>
    <t xml:space="preserve">Applications of Artificial Intelligence and Machine learning in smart cities</t>
  </si>
  <si>
    <t xml:space="preserve">Ullah, Z; Al-Turjman, F; Mostarda, L; Gagliardi, R</t>
  </si>
  <si>
    <t xml:space="preserve">COMPUTER COMMUNICATIONS</t>
  </si>
  <si>
    <t xml:space="preserve">10.1016/j.comcom.2020.02.069</t>
  </si>
  <si>
    <t xml:space="preserve">ORI-062</t>
  </si>
  <si>
    <t xml:space="preserve">ORI-094</t>
  </si>
  <si>
    <t xml:space="preserve">Applications of reinforcement learning in energy systems</t>
  </si>
  <si>
    <t xml:space="preserve">Perera, A.T.D.; Kamalaruban, Parameswaran</t>
  </si>
  <si>
    <t xml:space="preserve">10.1016/j.rser.2020.110618</t>
  </si>
  <si>
    <t xml:space="preserve">Energy systems undergo major transitions to facilitate the large-scale penetration of renewable energy technologies and improve efficiencies, leading to the integration of many sectors into the energy system domain. As the complexities in this domain increase, it becomes challenging to control energy flows using existing techniques based on physical models. Moreover, although data-driven models, such as reinforcement learning (RL), have gained considerable attention in many fields, a direct shift into RL is not feasible in the energy domain irrespective of the ongoing complexities. To this end, a top-down approach is used to understand this behavior by reviewing the current state of the art. We classified RL papers in the literature into seven categories based on their area of application. Subsequently, publications under each category were further examined relative to problem diversity, RL technique employed, performance improvement (compared with other white and gray box models), verification, and reproducibility; many of the articles reported a 10–20% performance improvement with the use of RL. In most studies, however, deep learning techniques and state-of-the-art actor-critic methods (e.g., twin delayed deep deterministic policy gradient and soft actor-critic) were not applied. This has remarkably hindered performance improvements and problems related to complex energy flows have not been considered. Approximately half of the publications reported the use of Q-learning. Furthermore, despite the availability of historical data in the energy system domain, batch RL algorithms have not been exploited. Emerging multi-agent RL applications may be considered as a positive development that can enable the management of complex interactions among multiple parties. Most studies lack proper benchmarking compared to model-based approaches or gray-box models, and a majority cover energy dispatch problems and building energy management. Although RL can adequately solve problems that are considerably integrated in several sectors, only a limited number of publications have discussed its broad application. The present study clearly demonstrates that even without the full utilization of RL capacity, this technique has a considerable potential in resolving the continuously increasing complexity within the energy system domain.</t>
  </si>
  <si>
    <t xml:space="preserve">ORI-044</t>
  </si>
  <si>
    <t xml:space="preserve">Artificial Intelligence Applications in Electric Distribution Systems: Post-Pandemic Progress and Prospect</t>
  </si>
  <si>
    <t xml:space="preserve">Chung, SJ; Zhang, Y</t>
  </si>
  <si>
    <t xml:space="preserve">APPLIED SCIENCES-BASEL</t>
  </si>
  <si>
    <t xml:space="preserve">10.3390/app13126937</t>
  </si>
  <si>
    <t xml:space="preserve">ORI-164</t>
  </si>
  <si>
    <t xml:space="preserve">Artificial Intelligence in the Hierarchical Control of AC, DC, and Hybrid AC/DC Microgrids: A Review</t>
  </si>
  <si>
    <t xml:space="preserve">J. Gutiérrez-Escalona; C. Roncero-Clemente; O. Husev; O. Matiushkin; F. Blaabjerg</t>
  </si>
  <si>
    <t xml:space="preserve">10.1109/access.2024.3486382</t>
  </si>
  <si>
    <t xml:space="preserve">Growing concerns about the energy and environmental crisis are accelerating the transition to a sustainable energy generation landscape through the integration of distributed generators (DGs) into the electric power systems. Microgrids (MGs) have developed as autonomous, localized energy solutions for integrating DGs, improving grid functionality and reliability by supporting both grid-connected and islanded operational modes. Furthermore, the dc nature of numerous DGs and domestic appliances, along with advances in power electronics, have driven research away from traditional ac MGs towards dc and even hybrid ac/dc MGs. This transition introduces greater complexity and a wider range of control scenarios. To address the challenges of these increasingly complex systems, this paper reviews the application of artificial intelligence (AI) in the hierarchical control structures of ac, dc, and hybrid ac/dc MGs. AI techniques show significant promise in enhancing control and operation due to their ability to learn and adapt from the system operational data. However, integrating these AI algorithms into real-world applications remains challenging, with substantial progress still required to make these methods viable in practical scenarios. This review highlights the latest research efforts, identifies the key contributions of AI to MG control, and outlines the limitations and future research opportunities in the field.</t>
  </si>
  <si>
    <t xml:space="preserve">ORI-096</t>
  </si>
  <si>
    <t xml:space="preserve">Artificial intelligence strategies applied in general and automotive air conditioning control. A review of the last 20 years</t>
  </si>
  <si>
    <t xml:space="preserve">Mendes, Ramon de Paoli; Pábon, Juan José Garcia; Pottie, Daniel Leon Ferreira; Machado, Luiz</t>
  </si>
  <si>
    <t xml:space="preserve">International Journal of Refrigeration</t>
  </si>
  <si>
    <t xml:space="preserve">10.1016/j.ijrefrig.2024.03.009</t>
  </si>
  <si>
    <t xml:space="preserve">This article conducts a 20-year review of studies investigating the utilization of artificial intelligence in HVAC (Heating, Ventilation, and Air Conditioning) system control, with a particular focus on automotive HVAC systems, renowned for their unique challenges due to the highly dynamic nature of automotive cabins. Artificial neural networks (ANNs) provide adaptive modeling and control capabilities to enhance energy efficiency, thermal comfort, and air quality in HVAC systems. Nevertheless, ANNs exhibit limitations, primarily their performance being constrained by training data, impeding adaptability to unforeseen scenarios. To overcome these constraints, researchers have explored hybrid approaches that integrate ANNs with PID (Proportional, Integral, and Derivative) or PI (Proportional and Integral) algorithms, resulting in systems referred to as Neuro-PID or Neuro-PI. These systems can effectively handle unanticipated situations by absorbing errors introduced by ANNs. Nonetheless, the applicability of Neuro-PID varies depending on the specific system. It becomes infeasible in scenarios with substantial delays, prompting the choice of the appropriate approach based on the controllability factor, a ratio between system delay and time constant. A controllability factor less than 2 indicates the suitability of employing ANNs for PID controller tuning. Furthermore, the intricate interaction between temperature and humidity in HVAC control systems diminishes the effectiveness of traditional PID. To proficiently regulate both variables, a viable alternative is the amalgamation of ANNs with specific control logic or the deployment of distinct ANN algorithms for varying scenarios. The heightened variability and unpredictability within automotive HVAC systems, driven by continuous vehicle movement and door/window operations, present additional challenges. In such contexts, reinforcement learning techniques have found application, allowing systems to dynamically adapt to unforeseen events. In summary, the choice of HVAC control approach hinges on the primary goal—thermal comfort or specific variable control—as well as the system's noise level, controllability factor, and system nature. While ANNs hold significant potential, combining them with other techniques, such as PID, reinforcement learning, or specific control logic, may prove essential in addressing the intricacies of HVAC systems</t>
  </si>
  <si>
    <t xml:space="preserve">ORI-113</t>
  </si>
  <si>
    <t xml:space="preserve">Artificial intelligence techniques for enabling Big Data services in distribution networks: A review</t>
  </si>
  <si>
    <t xml:space="preserve">Barja-Martinez, Sara; Aragüés-Peñalba, Mònica; Munné-Collado, Íngrid; Lloret-Gallego, Pau; Bullich-Massagué, Eduard; Villafafila-Robles, Roberto</t>
  </si>
  <si>
    <t xml:space="preserve">10.1016/j.rser.2021.111459</t>
  </si>
  <si>
    <t xml:space="preserve">Artificial intelligence techniques lead to data-driven energy services in distribution power systems by extracting value from the data generated by the deployed metering and sensing devices. This paper performs a holistic analysis of artificial intelligence applications to distribution networks, ranging from operation, monitoring and maintenance to planning. The potential artificial intelligence techniques for power system applications and needed data sources are identified and classified. The following data-driven services for distribution networks are analyzed: topology estimation, observability, fraud detection, predictive maintenance, non-technical losses detection, forecasting, energy management systems, aggregated flexibility services and trading. A review of the artificial intelligence methods implemented in each of these services is conducted. Their interdependencies are mapped, proving that multiple services can be offered as a single clustered service to different stakeholders. Furthermore, the dependencies between the AI techniques with each energy service are identified. In recent years there has been a significant rise of deep learning applications for time series prediction tasks. Another finding is that unsupervised learning methods are mainly being applied to customer segmentation, buildings efficiency clustering and consumption profile grouping for non-technical losses detection. Reinforcement learning is being widely applied to energy management systems design, although more testing in real environments is needed. Distribution network sensorization should be enhanced and increased in order to obtain larger amounts of valuable data, enabling better service outcomes. Finally, the future opportunities and challenges for applying artificial intelligence in distribution grids are discussed.</t>
  </si>
  <si>
    <t xml:space="preserve">ORI-107</t>
  </si>
  <si>
    <t xml:space="preserve">Assessment and reduction of embodied carbon emissions in buildings: a systematic literature review of recent advances</t>
  </si>
  <si>
    <t xml:space="preserve">Shi, Yunze; Cao, Xiaodong; Yang, Xudong</t>
  </si>
  <si>
    <t xml:space="preserve">10.1016/j.enbuild.2025.116058</t>
  </si>
  <si>
    <t xml:space="preserve">Decarbonization of the building sector is crucial for achieving global carbon neutrality, as the industry constitutes 37 % of total greenhouse gas (GHG) emissions worldwide. While operational carbon emissions (OCE) have declined through energy efficiency advancements, embodied carbon emissions (ECE) remain challenging to address due to their complexity across multiple building lifecycle stages. Conventional Life Cycle Assessment (LCA) faces limitations in dynamic scenarios, regional variability, and system boundary inconsistencies. Following the PRISMA 2020 guidelines, we conducted a systematic review of 7,731 publications (2020–2024), ultimately analyzing 159 high-impact studies. This review employs bibliometric analysis and qualitative content analysis to identify methodological innovations and effective reduction strategies. Bibliometric analysis revealed a notable shift from traditional LCA approaches toward two pivotal paradigm shifts: (1) machine learning (ML)-driven methodologies for dynamic assessment and reduction, which leverage three fundamental learning paradigms (supervised, unsupervised, and reinforcement learning) to automate predictive modeling, uncertainty quantification, and design optimization across the building lifecycle; and (2) multi-criteria decision-making (MCDM)-based frameworks that integrate regional-specific variables to resolve the carbon-performance-cost trilemma. Case studies from diverse geographical contexts highlight the necessity of context-sensitive strategies, demonstrating how localized decarbonization pathways can reduce ECE while maintaining building performance. Key challenges include data heterogeneity and standardization gaps, interpretability limitations of advanced ML algorithms, and geospatial adaptation of MCDM frameworks. Key findings emphasize the need for hybrid ML-MCDM frameworks with enhanced explainability that deliver actionable insights for ECE reduction in diverse contexts. Future research should prioritize the development of interpretable ML models that balance computational efficiency with transparent design parameter justification, establishing unified protocols for ECE accounting across diverse contexts, and fostering cross-disciplinary partnerships.</t>
  </si>
  <si>
    <t xml:space="preserve">ORI-121</t>
  </si>
  <si>
    <t xml:space="preserve">Building energy management has been recognized as of significant importance on improving the overall system efficiency and reducing the greenhouse gas emission. However, the building energy management system is now facing more challenges and uncertainties with the increasing penetration of renewable energy and increasing adoption of different types of electrical appliances and equipment. Classical model predictive control (MPC) has shown effective in building energy management, although it suffers from labour-intensive modelling and complex online control optimization. Recently, with the growing accessibility to building control and automation data, data-driven solutions such as data-driven MPC and reinforcement learning (RL)-based methods have attracted more research interest. However, the potential of integrating these two types of methods and how to choose suitable control algorithms have not been well discussed. In this work, we first present a compact review of the recent advances in data-driven MPC and RL-based control methods for building energy management. Furthermore, the main challenges in these approaches and general discussions on the selection of control methods are discussed.</t>
  </si>
  <si>
    <t xml:space="preserve">ORI-114</t>
  </si>
  <si>
    <t xml:space="preserve">Building simulation in adaptive training of machine learning models</t>
  </si>
  <si>
    <t xml:space="preserve">Amini, Hamed; Alanne, Kari; Kosonen, Risto</t>
  </si>
  <si>
    <t xml:space="preserve">Automation in Construction</t>
  </si>
  <si>
    <t xml:space="preserve">10.1016/j.autcon.2024.105564</t>
  </si>
  <si>
    <t xml:space="preserve">Combining building performance simulation (BPS) and artificial intelligence (AI) provides smart buildings with the ability to adapt by utilizing BPS's data synthesis and training capabilities. There is a scarcity of comprehensive reviews focusing on how building simulation contributes to the adaptation process. The contribution of this review is to analyze the implementation of building simulation in adaptive (AI) systems as both data acquisition and training environments, by interpreting adaptation as a cyclical process. Here, the reviewed studies are classified into four major applications: prediction, optimization, control, and management. It is concluded that defining adaptation as a cyclical process provides a useful framework for the development of adaptive smart buildings. Among the reviewed control and management applications, 48% of decision-making AI agents were trained adaptively, with contributions from BPS. Further research is needed to fully exploit the potential of BPS in training decision-making AI especially when aiming at continuous (cyclical) adaptation.</t>
  </si>
  <si>
    <t xml:space="preserve">ORI-110</t>
  </si>
  <si>
    <t xml:space="preserve">Chapter 6 - Hybrid energy storages in buildings with artificial intelligence</t>
  </si>
  <si>
    <t xml:space="preserve">Sun, Ying; Liu, Zhengxuan</t>
  </si>
  <si>
    <t xml:space="preserve">CHAP</t>
  </si>
  <si>
    <t xml:space="preserve">Advances in Digitalization and Machine Learning for Integrated Building-Transportation Energy Systems</t>
  </si>
  <si>
    <t xml:space="preserve">10.1016/b978-0-443-13177-6.00004-7</t>
  </si>
  <si>
    <t xml:space="preserve">Energy storage systems (ESSs) integrated in buildings not only ease the stress on grids through peak shifting and peak shaving, but also contribute to solving the mismatch between supply and demand by storing renewable energy for later use. With the rapid expansion of available data, artificial intelligence has been widely applied in the prediction, optimization, and control of hybrid ESS in buildings. This chapter summarizes the commonly used ESS in buildings, such as water tanks, batteries, building-integrated thermal ESSs, and underground/underwater ESSs. Besides, AI-based prediction methods (i.e., supervised machine learning algorithms) and optimization technologies (e.g., genetic algorithms, particle swarm optimization, differential evolution, ant colony optimization, simulated annealing, immune algorithms, and artificial fish swarm algorithms), control strategies, including AI-based model predictive controllers and predictive-free controllers (i.e., reinforcement learning), have been introduced. The advantages and disadvantages of AI technologies are also compared. In addition, we have reviewed the existing studies on the application of AI technologies to ESS in buildings to predict the energy storage capacity and rates, optimize the design parameters, and control the charge/discharge rate. Based on the discussion of existing studies, potential future research directions are given.</t>
  </si>
  <si>
    <t xml:space="preserve">ORI-076</t>
  </si>
  <si>
    <t xml:space="preserve">Collaborative swarm robotics for sustainable environment monitoring and exploration: Emerging trends and research progress</t>
  </si>
  <si>
    <t xml:space="preserve">Khaldi, Belkacem; Harrou, Fouzi; Sun, Ying</t>
  </si>
  <si>
    <t xml:space="preserve">Energy Nexus</t>
  </si>
  <si>
    <t xml:space="preserve">10.1016/j.nexus.2025.100365</t>
  </si>
  <si>
    <t xml:space="preserve">This study explores the application of swarm robotics and swarm and evolutionary computing techniques in environmental management and sustainability, a highly specific and increasingly demanding niche research area. Through a bibliometric analysis of two collections of peer-reviewed papers, key trends and emerging research areas are identified. The first collection, comprising approximately 450 papers, focuses on specific applications of swarm robotics systems in environmental use cases, including swarms of UAVs, AUVs, and USVs, particularly in tasks such as ecological monitoring, agricultural management, and disaster response. This analysis highlights essential keyword clusters, with ``ecological restoration'' emerging as a significant topic, and ``agricultural robots'' and ``remote sensing'' as active frontiers. Building on this analysis, eight directions are proposed to address environmental challenges across five categories. The second collection, consisting of around 198 papers, examines the different swarm and evolutionary computing algorithms employed in this niche area, identifying ten significant research clusters. Notably, the ``secure incentive mechanism'' is a trending area, emphasizing the development of reliable and secure cooperative multi-robot systems. Recent methods in this cluster utilize deep reinforcement learning and heuristic algorithms to enhance cooperation efficiency. Five potential directions categorized into two main groups are explored to address security and reliability challenges within swarm robot systems in environmental tasks. The findings underscore the critical role of swarm robotics in environment-focused tasks such as ecosystem recovery and the importance of secure cooperation mechanisms, paving the way for advancements in agriculture, resource management, intelligent infrastructure, and urban systems.</t>
  </si>
  <si>
    <t xml:space="preserve">ORI-153</t>
  </si>
  <si>
    <t xml:space="preserve">Collective Intelligence and Application Potentials in Modern Power Systems: A Comprehensive Review</t>
  </si>
  <si>
    <t xml:space="preserve">T. Pu; J. Cao; X. Wang; D. Zhang</t>
  </si>
  <si>
    <t xml:space="preserve">CSEE Journal of Power and Energy Systems</t>
  </si>
  <si>
    <t xml:space="preserve">10.17775/cseejpes.2025.02500</t>
  </si>
  <si>
    <t xml:space="preserve">Modern power systems serve as a critical component of new energy architectures and are essential carriers for achieving the dual carbon goals. With the increasing penetration of renewable energy and the widespread use of various flexible, uncertain, distributed energy resources, the variety of generation and load types in power systems continues to expand, resulting in greater operational complexity and control challenges. Collective intelligence, identified as one of the key research directions in China's next generation artificial intelligence development plan, can leverage multi-agent cooperative optimization to support coordinated optimization and control in modern power systems. This paper begins with a brief overview of collective intelligence technologies. The current state of key research scenarios in modern power systems is then analyzed, with a focus on the emerging features and challenges encountered in these environments. Subsequently, the application potential of collective intelligence in modern power systems is summarized, along with a review of relevant research efforts in this domain. Finally, future research directions are discussed, highlighting advanced technologies that are expected to further enhance the integration of collective intelligence into modern power system control and optimization.</t>
  </si>
  <si>
    <t xml:space="preserve">ORI-125</t>
  </si>
  <si>
    <t xml:space="preserve">Comparative Analysis of Control Strategies for Microgrid Energy Management with a Focus on Reinforcement Learning</t>
  </si>
  <si>
    <t xml:space="preserve">P. Mohammadi; R. Darshi; S. Shamaghdari; P. Siano</t>
  </si>
  <si>
    <t xml:space="preserve">10.1109/access.2024.3495032</t>
  </si>
  <si>
    <t xml:space="preserve">The depletion of fossil fuel reserves and the urgent need to cut greenhouse gas emissions are driving a significant shift in the global energy sector. This transformation necessitates advanced energy management strategies in microgrids to integrate renewable energy sources efficiently. Traditional methods, including classical, metaheuristic, model predictive, stochastic, and robust control techniques, have been extensively studied. However, these approaches often struggle with slow performance and high computational demands, making them less effective for real-time applications due to the need for frequent re-optimization. In contrast, reinforcement learning, a branch of machine learning, excels by continuously learning and optimizing through real-time interactions This approach offers greater flexibility and adaptability in complex and dynamic environments. This paper provides a comparative review of various control strategies for microgrid energy management, examining their strengths and limitations. We place a particular focus on reinforcement learning algorithms and their application in microgrids. This paper conducts a detailed analysis of studies on reinforcement learning-based energy management systems, evaluating their potential to enhance energy efficiency, optimize usage, and contribute to the sustainability of modern energy infrastructures. This review aims to enhance understanding in this field and offer insights for future research on smart energy management systems.</t>
  </si>
  <si>
    <t xml:space="preserve">ORI-137</t>
  </si>
  <si>
    <t xml:space="preserve">Comprehensive Analysis of Fuel Cell Electric Vehicles: Challenges, Powertrain Configurations, and Energy Management Systems</t>
  </si>
  <si>
    <t xml:space="preserve">M. S. Munsi; R. P. Joshi</t>
  </si>
  <si>
    <t xml:space="preserve">10.1109/access.2024.3472704</t>
  </si>
  <si>
    <t xml:space="preserve">Rising concerns about fuel costs, emissions, oil depletion, and energy security have propelled the search for alternative energy sources in transportation. Electric vehicles are a crucial development in this direction, and fuel cell technology is gaining traction for its versatility and potential benefits. Fuel cells have become increasingly attractive for automobile owing to their ease of use, quiet operation, superior efficiency, modular design, and reliance on clean hydrogen. However, challenges remain, including hydrogen storage, high costs, integration with power electronics, and cold-start capabilities, which continue to impede the widespread adoption of Fuel Cell Electric Vehicles (FCEVs). This study critically examines these key issues, explores various fuel cell technologies and drivetrain architectures, and provides a comparative analysis of different energy storage systems. Furthermore, the study delves into the classification and evaluation of energy management strategies (EMS) for FCEVs. The review ultimately aims to stimulate further research focused on reducing costs, extending fuel cell lifespan, enhancing hydrogen infrastructure, optimizing electronic interfaces, and refining EMS to pave the way for the future of FCEVs.</t>
  </si>
  <si>
    <t xml:space="preserve">ORI-156</t>
  </si>
  <si>
    <t xml:space="preserve">Comprehensive Review on the Control of Heat Pumps for Energy Flexibility in Distribution Networks</t>
  </si>
  <si>
    <t xml:space="preserve">G. L. Aschidamini; M. Pavlovic; B. A. Reinholz; M. S. Metcalfe; T. Niet; M. Resener</t>
  </si>
  <si>
    <t xml:space="preserve">10.1109/access.2025.3569761</t>
  </si>
  <si>
    <t xml:space="preserve">Decarbonization plans promote the transition to heat pumps (HPs), creating new opportunities for their energy flexibility in demand response programs, solar photovoltaic integration, and optimization of distribution networks. This paper reviews scheduling-based and real-time optimization methods for controlling HPs with a focus on energy flexibility in distribution networks. Scheduling-based methods fall into two categories: rule-based controllers (RBCs), which rely on predefined control rules without explicitly seeking optimal solutions, and optimization models, which are designed to determine the optimal scheduling of operations. Real-time optimization is achieved through model predictive control (MPC), which relies on a predictive model to optimize decisions over a time horizon, and reinforcement learning (RL), which takes a model-free approach by learning optimal strategies through direct interaction with the environment. The paper also examines studies on the impact of HPs on distribution networks, particularly those leveraging energy flexibility strategies. Key takeaways suggest the need to validate control strategies for extreme cold-weather regions that require backup heaters, as well as develop approaches designed for demand charge schemes that integrate HPs with other controllable loads. From a grid impact assessment perspective, studies have focused primarily on RBCs for providing energy flexibility through HP operation, without addressing more advanced methods such as real-time optimization using MPC or RL-based algorithms. Incorporating these advanced control strategies could help identify key limitations, including the impact of varying user participation levels and the cost-benefit trade-offs associated with their implementation.</t>
  </si>
  <si>
    <t xml:space="preserve">ORI-092</t>
  </si>
  <si>
    <t xml:space="preserve">Concepts of user-centred lighting controls for office applications: A systematic literature review</t>
  </si>
  <si>
    <t xml:space="preserve">Hammes, Sascha; Geisler-Moroder, David; Hauer, Martin; Weninger, Johannes; Obleitner, Maximilian; Miller, Josef; Plörer, Daniel; Van Karsbergen, Vincent; Weitlaner, Robert; Pfluger, Rainer</t>
  </si>
  <si>
    <t xml:space="preserve">10.1016/j.buildenv.2024.111321</t>
  </si>
  <si>
    <t xml:space="preserve">Due to the very limited information available during building design phase, lighting automation systems tend to follow pre-defined control curves and use normative default values. However, these are unlikely to reflect the wide variation in daily working hours and individual lighting preferences. Inadequate user modelling can result in missed energy and comfort targets, as well as insufficient light doses. Given that the building sector accounts for around one third of the world's energy demand, and lighting is one of the main consumers, a higher level of user representation in lighting control systems is essential to meet climate and environmental targets. The general practical applicability of user-centred concepts usually fails due to implementation, inadequate mapping of objectives to required parameters, availability of information and mapping in control systems. This comprehensive literature review of 160 articles evaluates the potential of individual control concepts in relation to the target criteria of lighting systems and identifies the necessary technical system components for greater applicability. The focus of the review is on daylight and artificial lighting and their application in office environments. From the results obtained, key elements for better implementation of user-centred concepts in lighting control were derived. These include zoned lighting, human-in-the-loop approaches, and sensor fusion. Post-occupancy evaluation, supported by social science methods, can help to capture relevant physiological and psychological parameters. The review concludes that post-occupancy optimisation of user-centred lighting applications offers great potential for overcoming previous design limitations and subsequently reducing performance gaps.</t>
  </si>
  <si>
    <t xml:space="preserve">ORI-041</t>
  </si>
  <si>
    <t xml:space="preserve">Control strategies for integration of thermal energy storage into buildings: State-of-the-art review</t>
  </si>
  <si>
    <t xml:space="preserve">Yu, Z; Huang, GS; Haghighat, F; Li, HQ; Zhang, GQ</t>
  </si>
  <si>
    <t xml:space="preserve">10.1016/j.enbuild.2015.05.038</t>
  </si>
  <si>
    <t xml:space="preserve">ORI-055</t>
  </si>
  <si>
    <t xml:space="preserve">Convergence of Photovoltaic Power Forecasting and Deep Learning: State-of-Art Review</t>
  </si>
  <si>
    <t xml:space="preserve">Massaoudi, M; Chihi, I; Abu-Rub, H; Refaat, SS; Oueslati, FS</t>
  </si>
  <si>
    <t xml:space="preserve">IEEE ACCESS</t>
  </si>
  <si>
    <t xml:space="preserve">10.1109/access.2021.3117004</t>
  </si>
  <si>
    <t xml:space="preserve">ORI-067</t>
  </si>
  <si>
    <t xml:space="preserve">Corrigendum to “Multi objectives reinforcement learning for smart buildings: A systematic review of algorithms, applications and future perspectives” [Energy Build. 345 (2025) 116045]</t>
  </si>
  <si>
    <t xml:space="preserve">Yen Huynh, Thi Ngoc; Nguyen, Anh Tuan; Ahn, Yonghan; Oo, Bee Lan; Lim, Benson T.H.</t>
  </si>
  <si>
    <t xml:space="preserve">10.1016/j.enbuild.2025.116068</t>
  </si>
  <si>
    <t xml:space="preserve">ORI-049</t>
  </si>
  <si>
    <t xml:space="preserve">Data-Driven Analytics for Reliability in the Buildings-to-Grid Integrated System Framework: A Systematic Text-Mining-Assisted Literature Review and Trend Analysis</t>
  </si>
  <si>
    <t xml:space="preserve">Bachoumis, A; Mylonas, C; Plakas, K; Birbas, M; Birbas, A</t>
  </si>
  <si>
    <t xml:space="preserve">10.1109/access.2023.3335191</t>
  </si>
  <si>
    <t xml:space="preserve">ORI-040</t>
  </si>
  <si>
    <t xml:space="preserve">Data-driven energy management of virtual power plants: A review</t>
  </si>
  <si>
    <t xml:space="preserve">Ruan, GC; Qiu, DW; Sivaranjani, S; Awad, ASA; Strbac, G</t>
  </si>
  <si>
    <t xml:space="preserve">ADVANCES IN APPLIED ENERGY</t>
  </si>
  <si>
    <t xml:space="preserve">10.1016/j.adapen.2024.100170</t>
  </si>
  <si>
    <t xml:space="preserve">ORI-057</t>
  </si>
  <si>
    <t xml:space="preserve">Data-driven methods for building control — A review and promising future directions</t>
  </si>
  <si>
    <t xml:space="preserve">Maddalena, Emilio T.; Lian, Yingzhao; Jones, Colin N.</t>
  </si>
  <si>
    <t xml:space="preserve">Control Engineering Practice</t>
  </si>
  <si>
    <t xml:space="preserve">10.1016/j.conengprac.2019.104211</t>
  </si>
  <si>
    <t xml:space="preserve">ORI-024</t>
  </si>
  <si>
    <t xml:space="preserve">Data-driven methods for the reduction of energy consumption in warehouses: Use-case driven analysis</t>
  </si>
  <si>
    <t xml:space="preserve">Shaer, Ibrahim; Shami, Abdallah</t>
  </si>
  <si>
    <t xml:space="preserve">Internet of Things</t>
  </si>
  <si>
    <t xml:space="preserve">10.1016/j.iot.2023.100882</t>
  </si>
  <si>
    <t xml:space="preserve">On a global scale, buildings account for a significant portion of energy consumption and CO2 emissions, contributing to inclement environmental conditions. The Heating, Ventilation, and Air Conditioning (HVAC) system is an important energy consumer in buildings, which can be controlled to reduce overall energy consumption. This paper provides an overview of the HVAC control problem for energy reduction in warehouses. In particular, this paper first introduces the enabling technologies for HVAC control. After that, an extensive explanation of the warehouse environment is provided. Issues such as multi-zone spaces, occupancy profiling, and ambient environmental conditions are highlighted in connection to energy consumption. Next, a survey of traditional solutions followed by the proposed solution of incorporating Reinforcement Learning (RL) and Supervised Learning techniques are discussed. After that, an in-depth summary of the challenges associated with the implementation of these techniques is examined. Lastly, a use case study is conducted to demonstrate the outlined challenges using a dataset collected in a real-world environment.</t>
  </si>
  <si>
    <t xml:space="preserve">ORI-090</t>
  </si>
  <si>
    <t xml:space="preserve">Data-driven policy mapping for safe RL-based energy management systems</t>
  </si>
  <si>
    <t xml:space="preserve">Zangato, Théo; Osmani, Aomar; Alizadeh, Pegah</t>
  </si>
  <si>
    <t xml:space="preserve">Energy Reports</t>
  </si>
  <si>
    <t xml:space="preserve">10.1016/j.egyr.2025.01.002</t>
  </si>
  <si>
    <t xml:space="preserve">Increasing global energy demand and renewable integration complexity have placed buildings at the center of sustainable energy management. We present a three-step reinforcement learning (RL)-based Building Energy Management System (BEMS) that combines clustering, forecasting, and constrained policy learning to address scalability, adaptability, and safety challenges. First, we cluster non-shiftable load profiles to identify common consumption patterns, enabling policy generalization and transfer without retraining for each new building. Next, we integrate an LSTM-based forecasting module to anticipate future states, improving the RL agent’s responsiveness to dynamic conditions. Lastly, domain-informed action masking ensures safe exploration and operation, preventing harmful decisions. Evaluated on real-world data, our approach reduces operating costs by up to 15% for certain building types, maintains stable environmental performance, and quickly classifies and optimizes new buildings with limited data. It also adapts to stochastic tariff changes without retraining. Overall, this framework delivers scalable, robust, and cost-effective building energy management.</t>
  </si>
  <si>
    <t xml:space="preserve">ORI-074</t>
  </si>
  <si>
    <t xml:space="preserve">Data-driven wind farm flow control and challenges towards field implementation: A review</t>
  </si>
  <si>
    <t xml:space="preserve">Göçmen, Tuhfe; Liew, Jaime; Kadoche, Elie; Dimitrov, Nikolay; Riva, Riccardo; Andersen, Søren Juhl; Lio, Alan W.H.; Quick, Julian; Réthoré, Pierre-Elouan; Dykes, Katherine</t>
  </si>
  <si>
    <t xml:space="preserve">10.1016/j.rser.2025.115605</t>
  </si>
  <si>
    <t xml:space="preserve">Data-driven wind farm flow control (WFFC) is an innovative approach that leverages the collected data and advanced analytics to enhance the performance of wind turbines within wind farms. Its significance lies in its ability to adapt to changing wind and turbine conditions and improve operations, boosting energy yield, extending turbine/component lifetime, and potentially reducing socio-environmental impact and costs, thus supporting the viability and sustainability of wind energy as a renewable power source. This review explores the dynamic field of data-driven WFFC and its challenges towards practical implementation. Building on top of traditional wind farm modelling and model-based control, it details the virtues and limitations of these methods while introducing the concept of data-informed or data-driven flow models that harness data to augment predictive accuracy and control strategies. The analysis then covers the methodologies for power and load surrogates, elucidating the pivotal role of surrogate modelling in enhancing WFFC, and showcasing its value in decision-making and energy optimisation. Furthermore, the growing field of reinforcement learning (RL) is highlighted, showcasing its adaptive potential to revolutionise wind farm control through learning from past interactions. The investigation concludes by identifying key challenges impeding the practical deployment of data-driven WFFC, including data quality concerns, cybersecurity risks, and limitations of the current algorithms. In summary, this comprehensive review presents the ongoing development of data-driven WFFC, emphasising the synergy between traditional methods, surrogate modelling, RL, and the critical challenges to be addressed for successful integration of these methodologies in real-world wind farm operations.</t>
  </si>
  <si>
    <t xml:space="preserve">ORI-051</t>
  </si>
  <si>
    <t xml:space="preserve">Deep deterministic policy gradient algorithm: A systematic review</t>
  </si>
  <si>
    <t xml:space="preserve">Sumiea, EH; Abdulkadir, SJ; Alhussian, HS; Al-Selwi, SM; Alqushaibi, A; Ragab, MG; Fati, SM</t>
  </si>
  <si>
    <t xml:space="preserve">HELIYON</t>
  </si>
  <si>
    <t xml:space="preserve">10.1016/j.heliyon.2024.e30697</t>
  </si>
  <si>
    <t xml:space="preserve">ORI-056</t>
  </si>
  <si>
    <t xml:space="preserve">Deep learning in power systems research: A review</t>
  </si>
  <si>
    <t xml:space="preserve">Khodayar, M; Liu, GY; Wang, JH; Khodayar, ME</t>
  </si>
  <si>
    <t xml:space="preserve">CSEE JOURNAL OF POWER AND ENERGY SYSTEMS</t>
  </si>
  <si>
    <t xml:space="preserve">10.17775/cseejpes.2020.02700</t>
  </si>
  <si>
    <t xml:space="preserve">ORI-161</t>
  </si>
  <si>
    <t xml:space="preserve">Deep Learning in Smart Grid Technology: A Review of Recent Advancements and Future Prospects</t>
  </si>
  <si>
    <t xml:space="preserve">M. Massaoudi; H. Abu-Rub; S. S. Refaat; I. Chihi; F. S. Oueslati</t>
  </si>
  <si>
    <t xml:space="preserve">10.1109/access.2021.3071269</t>
  </si>
  <si>
    <t xml:space="preserve">The current electric power system witnesses a significant transition into Smart Grids (SG) as a promising landscape for high grid reliability and efficient energy management. This ongoing transition undergoes rapid changes, requiring a plethora of advanced methodologies to process the big data generated by various units. In this context, SG stands tied very closely to Deep Learning (DL) as an emerging technology for creating a more decentralized and intelligent energy paradigm while integrating high intelligence in supervisory and operational decision-making. Motivated by the outstanding success of DL-based prediction methods, this article attempts to provide a thorough review from a broad perspective on the state-of-the-art advances of DL in SG systems. Firstly, a bibliometric analysis has been conducted to categorize this review's methodology. Further, we taxonomically delve into the mechanism behind some of the trending DL algorithms. We then showcase the DL enabling technologies in SG, such as federated learning, edge intelligence, and distributed computing. Finally, challenges and research frontiers are provided to serve as guidelines for future work in the futuristic power grid domain. This study's core objective is to foster the synergy between these two fields for decision-makers and researchers to accelerate DL's practical deployment for SG systems.</t>
  </si>
  <si>
    <t xml:space="preserve">ORI-030</t>
  </si>
  <si>
    <t xml:space="preserve">Deep reinforcement learning based energy management strategies for electrified vehicles: Recent advances and perspectives</t>
  </si>
  <si>
    <t xml:space="preserve">He, HW; Meng, XF; Wang, Y; Khajepour, A; An, XW; Wang, RG; Sun, FC</t>
  </si>
  <si>
    <t xml:space="preserve">10.1016/j.rser.2023.114248</t>
  </si>
  <si>
    <t xml:space="preserve">ORI-123</t>
  </si>
  <si>
    <t xml:space="preserve">Deep Reinforcement Learning for Intelligent Energy Management Systems of Hybrid-Electric Powertrains: Recent Advances, Open Issues, and Prospects</t>
  </si>
  <si>
    <t xml:space="preserve">Y. Li; H. He; A. Khajepour; Y. Chen; W. Huo; H. Wang</t>
  </si>
  <si>
    <t xml:space="preserve">IEEE Transactions on Transportation Electrification</t>
  </si>
  <si>
    <t xml:space="preserve">10.1109/tte.2024.3377809</t>
  </si>
  <si>
    <t xml:space="preserve">The hybrid-electric powertrain presents an immediate solution to energy and environmental challenges encountered within the realm of transportation. Targeting the optimization of hybrid-electric powertrains, deep reinforcement learning (DRL) has been intensively and increasingly investigated to develop intelligent energy management systems in the context of augmented vehicular and traffic information. After a brief introduction to the Markov decision process and DRL, this article presents a comprehensive survey of the recent advancements in DRL-based energy management. The survey categorizes the progress based on the various roles that DRL plays in energy management systems, highlighting the flexibility and advantages of integrating DRL for achieving energy efficiency, safety, and reliable performance. Furthermore, the study concludes with an analysis of open issues and future prospects, including the learning and application of DRL-based energy management strategies, the development of novel DRL algorithms, and the integration of DRL-based energy management in intelligent and sustainable transportation contexts.</t>
  </si>
  <si>
    <t xml:space="preserve">ORI-139</t>
  </si>
  <si>
    <t xml:space="preserve">Deep reinforcement learning for power system applications: An overview</t>
  </si>
  <si>
    <t xml:space="preserve">Z. Zhang; D. Zhang; R. C. Qiu</t>
  </si>
  <si>
    <t xml:space="preserve">10.17775/cseejpes.2019.00920</t>
  </si>
  <si>
    <t xml:space="preserve">Due to increasing complexity, uncertainty and data dimensions in power systems, conventional methods often meet bottlenecks when attempting to solve decision and control problems. Therefore, data-driven methods toward solving such problems are being extensively studied. Deep reinforcement learning (DRL) is one of these data-driven methods and is regarded as real artificial intelligence (AI). DRL is a combination of deep learning (DL) and reinforcement learning (RL). This field of research has been applied to solve a wide range of complex sequential decision-making problems, including those in power systems. This paper firstly reviews the basic ideas, models, algorithms and techniques of DRL. Applications in power systems such as energy management, demand response, electricity market, operational control, and others are then considered. In addition, recent advances in DRL including the combination of RL with other classical methods, and the prospect and challenges of applications in power systems are also discussed.</t>
  </si>
  <si>
    <t xml:space="preserve">ORI-157</t>
  </si>
  <si>
    <t xml:space="preserve">Digital Twin Integration With Data Fusion for Enhanced Photovoltaic System Management: A Systematic Literature Review</t>
  </si>
  <si>
    <t xml:space="preserve">J. Yuan; J. Ma; Z. Tian; K. L. Man</t>
  </si>
  <si>
    <t xml:space="preserve">IEEE Open Journal of Power Electronics</t>
  </si>
  <si>
    <t xml:space="preserve">10.1109/ojpel.2024.3422021</t>
  </si>
  <si>
    <t xml:space="preserve">The integration of Digital Twin (DT) technology into the photovoltaic (PV) sector represents a significant advancement in energy management, optimization, servicing, and maintenance. This comprehensive literature review aims to enhance understanding, categorization, and adoption of DT and data fusion technologies within the PV industry to guide future research endeavors. The review categorizes PV models into three types: digital models, digital shadows, and digital twins, based on their data connection and integration attributes. It recognizes data fusion as the critical enabling technology for the development of complex DT models and proposes a framework for integrating data fusion with DT systems. A detailed examination of prevalent PV modeling methodologies is conducted to delineate their advantages and limitations, serving as a valuable resource for industry practitioners. The paper concludes that digital models and digital shadows are effective for initial PV system forecast and monitoring, while fully integrated DT models offer significant advantages, including real-time analysis, predictive capabilities, and active system optimization. However, implementing and maintaining DT models require advanced data analytics, high computational costs, and robust system security, presenting important challenges to be addressed in future research endeavors.</t>
  </si>
  <si>
    <t xml:space="preserve">ORI-167</t>
  </si>
  <si>
    <t xml:space="preserve">Distributed Control Strategies for Microgrids: A Critical Review of Technologies and Challenges</t>
  </si>
  <si>
    <t xml:space="preserve">G. Ahmad; A. Hassan; A. Islam; M. Shafiullah; M. A. Abido; M. Al-Dhaifallah</t>
  </si>
  <si>
    <t xml:space="preserve">10.1109/access.2025.3552940</t>
  </si>
  <si>
    <t xml:space="preserve">The surging growth of the global energy demand, rapid depletion of fuel reserves, and, most importantly, increasing global warming trends have been the major concerns for decision-makers for the last couple of decades. The current prevalent renewable and clean power sources such as wind, hydro, and solar energy provide workable solutions to the foregoing problems via (DGs). Microgrids (MGs) are essential for interfacing the major portion of renewable energy sources and decision-making regarding the control and operation modes. Recent MG research trends focused on integrating those affordable and cost-effective resources into the energy mix at a consumer level. Still, due to the complexity of DG integration into the MG, many research efforts have been made to examine and develop distributed control (DCT) systems for alternating current, direct current, and hybrid MGs, and adherents of this approach, the distributed controllers have numerous advantages compared with centralized and decentralized control methods, such as increased reliability, flexibility, controllability, possibility to initiate operations independently, and robustness to communication failures. This research critically reviews the DCT strategies developed for MGs, presents various MG control strategies, and delves into different approaches to designing distributed controllers. Besides, this article highlights existing challenges and possible ways of mitigation, most especially by using artificial intelligence approaches. It also reviews the multi-microgrid concept to shed light on modern technologies and their potential applications in MGs. It is expected that the decision-makers and the researchers will find the critical analysis of this article useful while delving into various control strategies for MG.</t>
  </si>
  <si>
    <t xml:space="preserve">ORI-039</t>
  </si>
  <si>
    <t xml:space="preserve">Driving conditions-driven energy management strategies for hybrid electric vehicles: A review</t>
  </si>
  <si>
    <t xml:space="preserve">Liu, T; Tan, WH; Tang, XL; Zhang, JW; Xing, Y; Cao, DP</t>
  </si>
  <si>
    <t xml:space="preserve">10.1016/j.rser.2021.111521</t>
  </si>
  <si>
    <t xml:space="preserve">ORI-063</t>
  </si>
  <si>
    <t xml:space="preserve">ORI-025</t>
  </si>
  <si>
    <t xml:space="preserve">Dynamic thermal environment management technologies for data center: A review</t>
  </si>
  <si>
    <t xml:space="preserve">Du, Yahui; Zhou, Zhihua; Yang, Xiaochen; Yang, Xueqing; Wang, Cheng; Liu, Junwei; Yuan, Jianjuan</t>
  </si>
  <si>
    <t xml:space="preserve">10.1016/j.rser.2023.113761</t>
  </si>
  <si>
    <t xml:space="preserve">The energy demand of the data center (DC) industry has accounted for 2% of the total global energy consumption, and its operating power consumption has reached 50 times that of the commercial buildings. Therefore, improving the thermal environment performance to reduce the energy cost is major trend to realize the energy savings of DC. It has become a positive measure to integrate smart technologies to improve the operating efficiency of HVAC systems, especially due to the development of informatization and intelligence. This study provides detailed overview of the dynamic thermal environment management technologies of the DCs. The requirements of thermal environment in DCs were reviewed by different levels, which are the basis of the design and operation. Accordingly, various dynamic prediction technologies were presented concerning the theoretical mechanics, the computation efficiency and the applicable circumstances. The performance of the PID, the model predictive control and the reinforcement learning in the dynamic thermal environment control of DC were analyzed. Moreover, the evaluation systems based on cooling capacity, exergy analysis and entransy analysis were introduced respectively to measure the performance of the thermal environment. By investigating the knowledge related to the “requirement, prediction, control, and evaluation” of the DC dynamic thermal environment, this study aims to provide reference and guidance for energy conservation, airflow organization and smart operation of DCs.</t>
  </si>
  <si>
    <t xml:space="preserve">ORI-103</t>
  </si>
  <si>
    <t xml:space="preserve">Edge AI for Internet of Energy: Challenges and perspectives</t>
  </si>
  <si>
    <t xml:space="preserve">Himeur, Yassine; Sayed, Aya Nabil; Alsalemi, Abdullah; Bensaali, Faycal; Amira, Abbes</t>
  </si>
  <si>
    <t xml:space="preserve">10.1016/j.iot.2023.101035</t>
  </si>
  <si>
    <t xml:space="preserve">The digital landscape of the Internet of Energy (IoE) is on the brink of a revolutionary transformation with the integration of edge Artificial Intelligence (AI). This comprehensive review elucidates the promise and potential that edge AI holds for reshaping the IoE ecosystem. Commencing with a meticulously curated research methodology, the article delves into the myriad of edge AI techniques specifically tailored for IoE. The myriad benefits, spanning from reduced latency and real-time analytics to the pivotal aspects of information security, scalability, and cost-efficiency, underscore the indispensability of edge AI in modern IoE frameworks. As the narrative progresses, readers are acquainted with pragmatic applications and techniques, highlighting on-device computation, secure private inference methods, and the avant-garde paradigms of AI training on the edge. A critical analysis follows, offering a deep dive into the present challenges including security concerns, computational hurdles, and standardization issues. However, as the horizon of technology ever expands, the review culminates in a forward-looking perspective, envisaging the future symbiosis of 5G networks, federated edge AI, deep reinforcement learning, and more, painting a vibrant panorama of what the future beholds. For anyone vested in the domains of IoE and AI, this review offers both a foundation and a visionary lens, bridging the present realities with future possibilities.</t>
  </si>
  <si>
    <t xml:space="preserve">ORI-162</t>
  </si>
  <si>
    <t xml:space="preserve">Edge Intelligence for Smart Grid: A Survey on Application Potentials</t>
  </si>
  <si>
    <t xml:space="preserve">H. B. Gooi; T. Wang; Y. Tang</t>
  </si>
  <si>
    <t xml:space="preserve">10.17775/cseejpes.2022.02210</t>
  </si>
  <si>
    <t xml:space="preserve">With the booming of artificial intelligence (AI), Internet of Things (IoT), and high-speed communication technology, integrating these technologies to innovate the smart grid (SG) further is future development direction of the power grid. Driven by this trend, billions of devices in the SG are connected to the Internet and generate a large amount of data at network edge. To reduce pressure of cloud computing and overcome defects of centralized learning, emergence of edge computing (EC) makes the computing task transfer from the network center to the network edge. When further exploring the relationship between EC and AI, edge intelligence (EI) has become one of the research hotspots. Advantages of EI in flexibly utilizing EC resources and improving AI model learning efficiency make its application in SG a good prospect. However, since only a few existing studies have applied EI to SG, this paper focuses on the application potential of EI in SG. First, the concepts, characteristics, frameworks, and key technologies of EI are investigated. Then, a comprehensive review of AI and EC applications in SG is presented. Furthermore, application potentials for EI in SG are explored, and four application scenarios of EI for SG are proposed. Finally, challenges and future directions for EI in SG are discussed. This application survey of EI on SG is carried out before EI enters the large-scale commercial stage to provide references and guidelines for developing future EI frameworks in the SG paradigm.</t>
  </si>
  <si>
    <t xml:space="preserve">ORI-048</t>
  </si>
  <si>
    <t xml:space="preserve">Edge Offloading in Smart Grid</t>
  </si>
  <si>
    <t xml:space="preserve">Arcas, GI; Cioara, T; Anghel, I; Lazea, D; Hangan, A</t>
  </si>
  <si>
    <t xml:space="preserve">SMART CITIES</t>
  </si>
  <si>
    <t xml:space="preserve">10.3390/smartcities7010028</t>
  </si>
  <si>
    <t xml:space="preserve">ORI-150</t>
  </si>
  <si>
    <t xml:space="preserve">Edge-Cloud Architectures for Hybrid Energy Management Systems: A Comprehensive Review</t>
  </si>
  <si>
    <t xml:space="preserve">O. Boiko; A. Komin; R. Malekian; P. Davidsson</t>
  </si>
  <si>
    <t xml:space="preserve">IEEE Sensors Journal</t>
  </si>
  <si>
    <t xml:space="preserve">10.1109/jsen.2024.3382390</t>
  </si>
  <si>
    <t xml:space="preserve">This article provides an overview of recent research on edge-cloud architectures in hybrid energy management systems (HEMSs). It delves into the typical structure of an IoT system, consisting of three key layers: the perception layer, the network layer, and the application layer. The edge-cloud architecture adds two more layers: the middleware layer and the business layer. This article also addresses challenges in the proposed architecture, including standardization, scalability, security, privacy, regulatory compliance, and infrastructure maintenance. Privacy concerns can hinder the adoption of HEMS. Therefore, we also provide an overview of these concerns and recent research on edge-cloud solutions for HEMS that addresses them. This article concludes by discussing the future trends of edge-cloud architectures for HEMS. These trends include increased use of artificial intelligence on an edge level to improve the performance and reliability of HEMS and the use of blockchain to improve the security and privacy of edge-cloud computing systems.</t>
  </si>
  <si>
    <t xml:space="preserve">ORI-158</t>
  </si>
  <si>
    <t xml:space="preserve">Electric Vehicle Integration With Grid-Forming Capability in Renewable-Powered Microgrids: A Survey and Future Perspectives</t>
  </si>
  <si>
    <t xml:space="preserve">M. Osman; I. Serban</t>
  </si>
  <si>
    <t xml:space="preserve">10.1109/access.2026.3682011</t>
  </si>
  <si>
    <t xml:space="preserve">In recent years, electric vehicles (EVs) are increasingly recognized as flexible energy resources that can provide ancillary services to renewable energy sources-based microgrids (MGs), particularly when operated under grid-forming (GFM) control techniques. However, realizing this potential requires developments across several layers, including EV charger architectures, storage systems coordination, and hierarchical MG control. This paper brings these developments together. It reviews recent advancements in hybrid energy storage systems, converter topologies for on-board and off-board EV chargers, advanced control and energy management systems, vehicle-to-grid implementations, and EV-interactive MG operation. It also provides a comparative assessment of three proposed GFM-based EV-MG integration schemes in terms of GFM resource availability, active power exchange capacity, efficiency, infrastructure cost, and ancillary service potential. Major open research challenges and promising directions are discussed at the end.</t>
  </si>
  <si>
    <t xml:space="preserve">ORI-043</t>
  </si>
  <si>
    <t xml:space="preserve">Emerging Information Technologies for the Energy Management of Onboard Microgrids in Transportation Applications</t>
  </si>
  <si>
    <t xml:space="preserve">Huang, Z; Xiao, XC; Gao, Y; Xia, YH; Dragicevic, T; Wheeler, P</t>
  </si>
  <si>
    <t xml:space="preserve">10.3390/en16176269</t>
  </si>
  <si>
    <t xml:space="preserve">ORI-146</t>
  </si>
  <si>
    <t xml:space="preserve">Energy Management of Battery–Supercapacitor Hybrid Storage in Electric Vehicles With Solar Integration: A Review</t>
  </si>
  <si>
    <t xml:space="preserve">I. A. Sayed; Y. Mahmoud</t>
  </si>
  <si>
    <t xml:space="preserve">10.1109/access.2025.3636410</t>
  </si>
  <si>
    <t xml:space="preserve">Hybrid energy storage systems (HESS) integrating batteries and supercapacitors offer a promising solution to overcome the limitations of battery-only architectures in electric vehicles (EVs). By leveraging the high energy density of batteries and the high power density of supercapacitors, HESS can enhance power delivery, improve energy efficiency, and extend battery lifespan. The effectiveness of HESS, however, is largely determined by the energy management system (EMS) that coordinates power flow under dynamic driving conditions. Unlike existing reviews, this work addresses common gaps in the literature, including the lack of industrial energy storage component examples, limited coverage of recently developed EMS strategies, and insufficient analysis of renewable energy integration. This paper presents a comprehensive review of energy systems in EVs, focusing on EMS strategies and solar PV integration for battery–supercapacitor HESS. Rule-based, optimization-based, model predictive control (MPC), fuzzy logic control (FLC), and reinforcement learning (RL) methods are investigated and compared in terms of control performance, computational cost, adaptability, and real-time feasibility. The review also identifies research gaps and outlines future directions, emphasizing the need for intelligent, adaptive, and multi-objective EMS frameworks for next-generation EVs.</t>
  </si>
  <si>
    <t xml:space="preserve">ORI-127</t>
  </si>
  <si>
    <t xml:space="preserve">Energy Management of Multi-Energy Communities: A Hierarchical MIQP-Constrained Deep Reinforcement Learning Approach</t>
  </si>
  <si>
    <t xml:space="preserve">A. S. Omar; R. El-Shatshat</t>
  </si>
  <si>
    <t xml:space="preserve">IEEE Transactions on Sustainable Energy</t>
  </si>
  <si>
    <t xml:space="preserve">10.1109/tste.2025.3550563</t>
  </si>
  <si>
    <t xml:space="preserve">This paper proposes a hybrid mixed-integer quadratic programming-constrained deep reinforcement learning (MIQP-CDRL) framework for energy management of multi-energy communities. The framework employs a hierarchical two-layer structure: the MIQP layer handles day-ahead scheduling, minimizing operational costs while ensuring system constraint satisfaction, while the CDRL agent makes real-time adjustments. The goal of this framework is to combine the strengths of CDRL in addressing sequential decision-making problems in stochastic systems with the advantages of a mathematical programming model to guide the agent's exploration during the training and reduce the dependency on opaque policies during real-time operation. The system dynamics are modeled as a constrained Markov decision process (CMDP), which is solved by a model-free CDRL agent built upon the constrained policy optimization (CPO) algorithm. Practical test results demonstrate the effectiveness of this framework in improving the optimality and feasibility of the real-time solutions compared to existing stand-alone DRL approaches.</t>
  </si>
  <si>
    <t xml:space="preserve">ORI-036</t>
  </si>
  <si>
    <t xml:space="preserve">Energy Management Strategies for Hybrid Electric Vehicles: A Technology Roadmap</t>
  </si>
  <si>
    <t xml:space="preserve">Mittal, V; Shah, RJ</t>
  </si>
  <si>
    <t xml:space="preserve">WORLD ELECTRIC VEHICLE JOURNAL</t>
  </si>
  <si>
    <t xml:space="preserve">10.3390/wevj15090424</t>
  </si>
  <si>
    <t xml:space="preserve">ORI-122</t>
  </si>
  <si>
    <t xml:space="preserve">Energy Management Systems and Strategies in Buildings Sector: A Scoping Review</t>
  </si>
  <si>
    <t xml:space="preserve">A. M. Al-Ghaili; H. Kasim; N. M. Al-Hada; B. N. Jørgensen; M. Othman; J. Wang</t>
  </si>
  <si>
    <t xml:space="preserve">10.1109/access.2021.3075485</t>
  </si>
  <si>
    <t xml:space="preserve">Energy management systems in buildings (EMSs-in-Bs) play key roles in energy saving and management to which an efficient energy management system in buildings (EMS-in-Bs) design contributes. Different scope-based designs of EMS-in-Bs are reviewed. The objective is to highlight different scope-based designs of EMS-in-Bs in which scopes of reviewed papers aim to implement a function of, for example, “monitor energy performance”, “estimate energy-use”, or “control energy-use”. This paper aims to constitute a comprehensive conception of how efficient such an EMS-in-Bs to perform more than one scope (i.e., function). Meaning, is the proposed EMS-in-Bs able to perform several sequential functions? This paper's contribution is to give a function-focused EMS's review utilizing the scope of reviewed papers. That is, reviewed papers are classified based on the scope/function the selected EMS-in-Bs is designed for. This could help select an EMS-in-Bs to perform certain scope/function(s). Another contribution is that, numerous EMSs-in-Bs are reviewed in a classified way so that the most adequate EMS-in-Bs for a certain scenario considering the performed scopes/functions e.g., “monitor” are highlighted. Findings showed that “control-optimize”-functioned EMS-in-Bs achieved highest energy-saving rates ~30% compared to “estimate-predict” with 10%. Findings, insights given by reviewed studies, current problems faced, future directions, and remarks are drawn in conclusion. Analysis done on reviewed papers has found that the highest and lowest averaged-energy saving rates were obtained with papers whose their scopes are implementing “control”-with-“optimize” and “estimate”-with-“predict”, respectively. Energy saving rates for these two classes of scopes have been equal to 22.57% and 10%, respectively. We recommend that there is a need to enhance the estimation- and prediction-related EMS-in-Bs to achieve a higher energy saving rate.</t>
  </si>
  <si>
    <t xml:space="preserve">ORI-143</t>
  </si>
  <si>
    <t xml:space="preserve">Energy Management Systems for Electrified Powertrains: State-of-the-Art Review and Future Trends</t>
  </si>
  <si>
    <t xml:space="preserve">A. Biswas; A. Emadi</t>
  </si>
  <si>
    <t xml:space="preserve">IEEE Transactions on Vehicular Technology</t>
  </si>
  <si>
    <t xml:space="preserve">10.1109/tvt.2019.2914457</t>
  </si>
  <si>
    <t xml:space="preserve">Energy management systems (EMSs), implemented in the electronic control unit (ECU) of an actual vehicle with electrified powertrain, are a much simpler version of the theoretically developed EMS. Such simplification is done to accommodate the EMS within the given memory constraint and computational capacity of the ECU. The simplification should ensure reasonable performance compared to theoretical EMS under real-life driving scenarios. The process of simplification must be effective to create a versatile and utilitarian EMS. Hence, it is comprised of rigorous analysis of results obtained from theoretical EMS under various driving scenarios. This review paper broadly categorizes most of the reported utilitarian EMSs into three major categories and discusses the processes of simplification associated with each category. The utilitarian EMSs are classified based on their dependence on either online computation or offline pre-computation or even both for spewing control decisions. The paper delineates the chronological steps of a utilitarian EMS development, starting from theoretical background, process of simplification, validation through model-in-the-loop, software-in-the-loop, hardware-in-the-loop simulation, dynamometer test, and on-road performance validation. Future trends of on-board EMSs are also discussed before the conclusion.</t>
  </si>
  <si>
    <t xml:space="preserve">ORI-001</t>
  </si>
  <si>
    <t xml:space="preserve">Energy modelling and control of building heating and cooling systems with data-driven and hybrid models—A review</t>
  </si>
  <si>
    <t xml:space="preserve">Balali, Yasaman; Chong, Adrian; Busch, Andrew; O’Keefe, Steven</t>
  </si>
  <si>
    <t xml:space="preserve">10.1016/j.rser.2023.113496</t>
  </si>
  <si>
    <t xml:space="preserve">ORI-072</t>
  </si>
  <si>
    <t xml:space="preserve">Enhancing GIS models for sustainable development in human settlements using intelligent IoT infrastructure and human-machine interaction</t>
  </si>
  <si>
    <t xml:space="preserve">Xu, Mingxing</t>
  </si>
  <si>
    <t xml:space="preserve">Results in Engineering</t>
  </si>
  <si>
    <t xml:space="preserve">10.1016/j.rineng.2025.106713</t>
  </si>
  <si>
    <t xml:space="preserve">Sustainable development (SD) in human settlements (HS) can be achieved by integrating intelligent IoT infrastructure and human-machine interaction (HMI) into geographic information system (GIS) models. This study proposes a method combining real-time (RT) data and automation to address gaps in technology and urban planning. Current GIS models are ineffective due to limited RT data integration, poor urban system interaction, and lack of adaptability to dynamic changes. These shortcomings hinder sustainable urban growth, leading to suboptimal planning and resource management (RM). The proposed IoT-based framework for SD in HS (IoT-SD-HS) utilizes IoT devices and sensors to collect RT social, economic, and environmental data. This data enables adaptive decision-making (DM), smarter city planning, improved RM, and enhanced urban resilience. Intuitive HMI interfaces allow stakeholders to work effectively with the framework, facilitating data-driven decisions for urban planning and sustainability. Outcomes demonstrate significant improvements in energy consumption (EC), waste management (WM), and infrastructure development. The IoT-SD-HS model achieves high urban resilience (96.12%), WM efficiency (97.34%), and decision accuracy (98.12%), while reducing EC by 10.12%. By continuously evaluating power distribution during peak hours, smart cities reduce carbon footprints and save costs, demonstrating superior performance compared to existing methods. © 2012 Published by Elsevier Ltd. Selection and/or peer-review under responsibility of Global Science and Technology Forum Pte Ltd</t>
  </si>
  <si>
    <t xml:space="preserve">ORI-154</t>
  </si>
  <si>
    <t xml:space="preserve">Evolutionary Game Theory as a Catalyst in Smart Grids: From Theoretical Insights to Practical Strategies</t>
  </si>
  <si>
    <t xml:space="preserve">A. Karaki; L. Al-Fagih</t>
  </si>
  <si>
    <t xml:space="preserve">10.1109/access.2024.3436935</t>
  </si>
  <si>
    <t xml:space="preserve">The increase in the installation of distributed energy resources (DERs) globally has led to a remarkable transformation in the structure of smart grids due to the growing number of energy participants. Recently, electricity markets (EM) have received substantial attention as a viable solution for the complex issue of managing DERs. Modeling the power grid as a complex system of interacting components facilitates investigating the interaction among electricity producers and consumers to maintain the total generation and demand at a balance. In this work, we present a review of the recent advances in adopting evolutionary game theory (EGT), to mitigate challenges in the emerging smart grid, as a decision-making framework for trading dynamics and considering large populations. It includes a taxonomy of various EGT applications in energy trading dynamics, DER management, and policy and infrastructure development. Finally, the linkage between multi-agent reinforcement learning (MARL) and EGT is provided, highlighting their mathematical parallels in the context of smart grid applications.</t>
  </si>
  <si>
    <t xml:space="preserve">ORI-166</t>
  </si>
  <si>
    <t xml:space="preserve">Evolving Electric Mobility Energy Efficiency: In-Depth Analysis of Integrated Electronic Control Unit Development in Electric Vehicles</t>
  </si>
  <si>
    <t xml:space="preserve">S. S. A. Naqvi; H. Jamil; N. Iqbal; S. Khan; M. A. Khan; F. Qayyum; D. -H. Kim</t>
  </si>
  <si>
    <t xml:space="preserve">10.1109/access.2024.3356598</t>
  </si>
  <si>
    <t xml:space="preserve">The integrated Electronic Control Unit (ECU) plays a pivotal role in optimizing energy efficiency within electric vehicles (EVs) by coordinating various subsystems, including the Vehicle Control Unit (VCU), Electrical Power Steering (EPS), Electronic Stability Control (ESC), and Body Control Unit (BCU). Our comprehensive review deeply explores the various aspects of integrated ECUs and their sub-disciplines, emphasizing development approaches and algorithms specifically designed for mobility energy efficiency. The study shows the effect of various control units on energy efficiency by carefully examining case studies and real-world applications. Employing a critical assessment, the paper examines the advantages and disadvantages of various control systems utilized in electric vehicles (EVs), providing insight into their effectiveness in various situations. The presented study is typically related to the relationship between ECUs and their sub-branches through an integrated approach. By comparing current control approaches, the study offers a deep knowledge of the role of these units in improving vehicle performance, stability, and overall control. Furthermore, we evaluate the strengths and limitations of integrated ECU algorithms in the context of EV control by comparing them in a fair amount of detail. We identify important research gaps by integrating knowledge of multiple control areas in EV. The research effort will give researchers a path forward and make it possible to pinpoint the prospective dimensions that need further exploration in advancing the area of integrated ECUs in EVs.</t>
  </si>
  <si>
    <t xml:space="preserve">ORI-118</t>
  </si>
  <si>
    <t xml:space="preserve">Exploring the comprehensive integration of artificial intelligence in optimizing HVAC system operations: A review and future outlook</t>
  </si>
  <si>
    <t xml:space="preserve">Lu, Shengze; Zhou, Shiyu; Ding, Yan; Kim, Moon Keun; Yang, Bin; Tian, Zhe; Liu, Jiying</t>
  </si>
  <si>
    <t xml:space="preserve">10.1016/j.rineng.2024.103765</t>
  </si>
  <si>
    <t xml:space="preserve">With the rapid development of the artificial intelligence (AI) technology, its application in optimizing heating, ventilation and air-conditioning (HVAC) systems operation is becoming increasingly widespread. This study reviews the latest advances in AI optimization for HVAC systems operation, systematically outlining the characteristics of the AI technology and its various application methods in air conditioning systems. The main features of the AI technology are first introduced. The main algorithms of supervised learning, reinforcement learning, and deep learning are then analyzed in the fields of air conditioning operation optimization, energy consumption prediction and control, indoor environmental protection, and fault detection and diagnosis. The combination of the AI and digital twin technologies is also explored. This review study focuses on the intelligent control technology, multi-objective optimization of system operation, system optimization based on occupant behavior and thermal comfort, and system fault detection and diagnosis. Although the AI technology has led to satisfactory results in air conditioning system optimization, its practical applications still face challenges, such as the model accuracy and generalization ability, applicability, and integration with existing systems. The analysis conducted in this paper provides a foundation for the optimization of HVAC system operation.</t>
  </si>
  <si>
    <t xml:space="preserve">ORI-079</t>
  </si>
  <si>
    <t xml:space="preserve">Exploring three pillars of construction robotics via dual-track quantitative analysis</t>
  </si>
  <si>
    <t xml:space="preserve">Liu, Yuming; Alias, Aidi Hizami Bin; Haron, Nuzul Azam; Bakar, Nabilah Abu; Wang, Hao</t>
  </si>
  <si>
    <t xml:space="preserve">10.1016/j.autcon.2024.105391</t>
  </si>
  <si>
    <t xml:space="preserve">Construction robotics has emerged as a leading technology in the construction industry. This paper conducts an innovative dual-track quantitative comprehensive method to analyze the current literature and assess future trends. First, a bibliometric review of 955 journal articles published between 1974 and 2023 was performed, exploring keywords, journals, countries, and clusters. Furthermore, a neural topic model based on BERTopic addresses topic modeling repetition issues. The study identifies building information modeling (BIM), human–robot collaboration (HRC), and deep reinforcement learning (DRL) as “three pillars” in the field. Additionally, we systematically reviewed the relevant literature and nested symbiotic relationships. The outcome of this study is twofold: first, the findings provide quantitative and qualitative scientific guidance for future research on trends; second, the innovative dual-track quantitative analysis research methodology simultaneously stimulates critical thinking about the modeling of other similarly trending topics characterized to avoid high degree of homogeneity and corpus overlap.</t>
  </si>
  <si>
    <t xml:space="preserve">ORI-171</t>
  </si>
  <si>
    <t xml:space="preserve">FL_GIoT: Federated Learning Enabled Edge-Based Green Internet of Things System: A Comprehensive Survey</t>
  </si>
  <si>
    <t xml:space="preserve">J. B. Awotunde; S. N. Sur; R. G. Jimoh; D. R. Aremu; D. -T. Do; B. M. Lee</t>
  </si>
  <si>
    <t xml:space="preserve">10.1109/access.2023.3335245</t>
  </si>
  <si>
    <t xml:space="preserve">In today’s world, the importance of the Green Internet of Things (GIoT) in the transformed sustainable smart cities cannot be overstated. For a variety of applications, the GIoT may make use of advanced machine learning (ML) methodologies. However, owing to high processing costs and privacy issues, centralized ML-based models are not a feasible option for the large data kept at a single cloud server and created by multiple devices. In such circumstances, edge-based computing may be used to increase the privacy of GIoT networks by bringing them closer to users and decentralizing them without requiring a central authority. Nonetheless, enormous amounts of data are stored in a distribution mechanism, and managing them for application purposes remains a difficulty. Hence, federated learning (FL) is one of the most promising solutions for bringing learning to end devices through edge computing without sharing private data with a central server. Therefore, the paper proposes a federated learning-enabled edge-based GIoT system, which seeks to improve the communication strategy while lowering liability in terms of energy management and data security for data transmission. The proposed model uses FL to produce feature values for data routing, which could aid in sensor training for identifying the best routes to edge servers. Furthermore, combining FL-enabled edge-based techniques simplifies security solutions while also allowing for a more efficient computing system. The experimental results show an improved performance against existing models in terms of network overhead, route interruption, energy consumption, and end-to-end delay, route interruption.</t>
  </si>
  <si>
    <t xml:space="preserve">ORI-080</t>
  </si>
  <si>
    <t xml:space="preserve">Foundation models and intelligent decision-making: Progress, challenges, and perspectives</t>
  </si>
  <si>
    <t xml:space="preserve">Huang, Jincai; Xu, Yongjun; Wang, Qi; Wang, Qi (Cheems); Liang, Xingxing; Wang, Fei; Zhang, Zhao; Wei, Wei; Zhang, Boxuan; Huang, Libo; Chang, Jingru; Ma, Liantao; Ma, Ting; Liang, Yuxuan; Zhang, Jie; Guo, Jian; Jiang, Xuhui; Fan, Xinxin; An, Zhulin; Li, Tingting; Li, Xuefei; Shao, Zezhi; Qian, Tangwen; Sun, Tao; Diao, Boyu; Yang, Chuanguang; Yu, Chenqing; Wu, Yiqing; Li, Mengxian; Zhang, Haifeng; Zeng, Yongcheng; Zhang, Zhicheng; Zhu, Zhengqiu; Lv, Yiqin; Li, Aming; Chen, Xu; An, Bo; Xiao, Wei; Bai, Chenguang; Mao, Yuxing; Yin, Zhigang; Gui, Sheng; Su, Wentao; Zhu, Yinghao; Gao, Junyi; He, Xinyu; Li, Yizhou; Jin, Guangyin; Ao, Xiang; Zhai, Xuehao; Tan, Haoran; Yun, Lijun; Shi, Hongquan; Li, Jun; Fan, Changjun; Huang, Kuihua; Harrison, Ewen; Leung, Victor C.M.; Qiu, Sihang; Dong, Yanjie; Zheng, Xiaolong; Wang, Gang; Zheng, Yu; Wang, Yuanzhuo; Guo, Jiafeng; Wang, Lizhe; Cheng, Xueqi; Wang, Yaonan; Yang, Shanlin; Fu, Mengyin; Fei, Aiguo</t>
  </si>
  <si>
    <t xml:space="preserve">The Innovation</t>
  </si>
  <si>
    <t xml:space="preserve">10.1016/j.xinn.2025.100948</t>
  </si>
  <si>
    <t xml:space="preserve">Intelligent decision-making (IDM) is a cornerstone of artificial intelligence (AI) designed to automate or augment decision processes. Modern IDM paradigms integrate advanced frameworks to enable intelligent agents to make effective and adaptive choices and decompose complex tasks into manageable steps, such as AI agents and high-level reinforcement learning. Recent advances in multimodal foundation-based approaches unify diverse input modalities—such as vision, language, and sensory data—into a cohesive decision-making process. Foundation models (FMs) have become pivotal in science and industry, transforming decision-making and research capabilities. Their large-scale, multimodal data-processing abilities foster adaptability and interdisciplinary breakthroughs across fields such as healthcare, life sciences, and education. This survey examines IDM’s evolution, advanced paradigms with FMs and their transformative impact on decision-making across diverse scientific and industrial domains, highlighting the challenges and opportunities in building efficient, adaptive, and ethical decision systems.</t>
  </si>
  <si>
    <t xml:space="preserve">ORI-163</t>
  </si>
  <si>
    <t xml:space="preserve">Foundational AI in Insurance and Real Estate: A Survey of Applications, Challenges, and Future Directions</t>
  </si>
  <si>
    <t xml:space="preserve">K. Kuppan; D. Bhaskar Acharya; D. B</t>
  </si>
  <si>
    <t xml:space="preserve">10.1109/access.2024.3509918</t>
  </si>
  <si>
    <t xml:space="preserve">This paper provides a comprehensive survey on the applications, challenges, and future directions of Artificial Intelligence (AI) in the insurance and real estate sectors. We explore key AI-driven solutions, such as advanced risk assessment, predictive analytics for fraud detection, and smart building management, highlighting their impact on enhancing operational efficiency and decision-making processes. The survey covers a wide range of AI techniques, including machine learning, deep learning, and natural language processing, and discusses their specific applications within these industries. We address critical challenges, such as data quality issues, the need for model interpretability, regulatory compliance, and integration with existing systems. Additionally, we identify emerging trends, such as the adoption of reinforcement learning for dynamic pricing and the use of AI for personalized insurance products. The paper concludes by outlining significant research gaps and proposing a roadmap for future work, aimed at guiding the development of more robust, explainable, and ethically sound AI applications in insurance and real estate.</t>
  </si>
  <si>
    <t xml:space="preserve">ORI-071</t>
  </si>
  <si>
    <t xml:space="preserve">Graph Neural Networks for building and civil infrastructure operation and maintenance enhancement</t>
  </si>
  <si>
    <t xml:space="preserve">Wettewa, Sajith; Hou, Lei; Zhang, Guomin</t>
  </si>
  <si>
    <t xml:space="preserve">Advanced Engineering Informatics</t>
  </si>
  <si>
    <t xml:space="preserve">10.1016/j.aei.2024.102868</t>
  </si>
  <si>
    <t xml:space="preserve">This systematic review, conducted within the PRISMA framework, investigates the disruptive capabilities of Graph Neural Networks (GNNs) in optimising Operations and Maintenance (OM) practices within the building and civil infrastructure domain. Addressing 5 research questions and encompassing 111 studies from 2014 to 2024, our study identifies the multifaceted applications of GNNs across different project stages from data enhancement to operational scenario enhancement. When considering integrated Facilities Management (FM) approaches, GNNs are employed for data enhancement purposes, leveraging techniques such as semantic enrichment of Building Information Modelling (BIM), various data imputation scenarios, and semantic segmentation of point clouds to enhance data quality and completeness. Operational scenarios involve the utilisation of GNN algorithms for anomaly detection, fault classification, system optimisation, and forecasting. Methodological optimisations crucial for GNN feasibility include feature engineering, architecture optimisation to balance complexity and overfitting risk, and the integration of Explainable Artificial Intelligence (XAI) methods to enhance model validity and trust. Physical principles integration through Physics-Informed Graph Neural Networks (PIGNNs) further enhances model explainability and validation. Future research directions focus on data interoperability enhancement, scalability improvements, and explainability enhancements. Automated graph generation and labelling, heterogeneous GNN models, supporting algorithms such as Long Short-Term Memory (LSTM) and reinforcement learning are proposed to overcome analysis limitations. Specific workflows targeting building performance-based semantic enrichment, building systems data imputation, and interdependency prediction are proposed in future directions. The review highlights the symbiotic relationship between GNN-based analysis and digital twin data analysis, emphasising the suitability of GNNs in addressing the demands of digital twin data analysis in the building and civil infrastructure domain.</t>
  </si>
  <si>
    <t xml:space="preserve">ORI-160</t>
  </si>
  <si>
    <t xml:space="preserve">Green Micro-Grid for Railway Infrastructure</t>
  </si>
  <si>
    <t xml:space="preserve">H. Deng; Y. Li; C. Tang; J. Liu; Q. Yi; Y. Wang; P. Wang; M. Gao</t>
  </si>
  <si>
    <t xml:space="preserve">IEEE Transactions on Intelligent Transportation Systems</t>
  </si>
  <si>
    <t xml:space="preserve">10.1109/tits.2025.3544264</t>
  </si>
  <si>
    <t xml:space="preserve">Rail transit has now been widely popularized, with the demand for the electrical energy required for railway operations showing a significant upward trend. Traditional power supply systems face challenges meeting railway operations’ continuously expanding energy consumption and the global vision for green, low-carbon transportation. Therefore, green microgrids are proposed to be integrated with them, constructing a green microgrid structure for the rail transit system to enhance its safety and stability. This paper discusses the structure of green microgrids and conducts a comprehensive review and comparative analysis of various green energy sources, energy storage systems, and advanced control strategies in green microgrids. The application of microgrids in rail systems is forward-looking, and future rail transit is expected to achieve a deep integration of self-sufficiency in energy, intelligent scheduling, and sustainable development.</t>
  </si>
  <si>
    <t xml:space="preserve">ORI-052</t>
  </si>
  <si>
    <t xml:space="preserve">HESS-based microgrid control techniques empowered by artificial intelligence: A systematic review of grid-connected and standalone systems</t>
  </si>
  <si>
    <t xml:space="preserve">Shyni, R; Kowsalya, M</t>
  </si>
  <si>
    <t xml:space="preserve">JOURNAL OF ENERGY STORAGE</t>
  </si>
  <si>
    <t xml:space="preserve">10.1016/j.est.2024.111012</t>
  </si>
  <si>
    <t xml:space="preserve">ORI-095</t>
  </si>
  <si>
    <t xml:space="preserve">Hybrid system controls of natural ventilation and HVAC in mixed-mode buildings: A comprehensive review</t>
  </si>
  <si>
    <t xml:space="preserve">Peng, Yuzhen; Lei, Yue; Tekler, Zeynep Duygu; Antanuri, Nogista; Lau, Siu-Kit; Chong, Adrian</t>
  </si>
  <si>
    <t xml:space="preserve">10.1016/j.enbuild.2022.112509</t>
  </si>
  <si>
    <t xml:space="preserve">Mixed-mode buildings utilise a combination of natural ventilation from operable building envelopes and mechanical systems to realise climate-friendly ventilation and cooling. The control of such hybrid systems is a promising solution to improve energy efficiency for buildings and comfort for occupants. Meanwhile, it is also a challenging task due to the complexity of the systems and coupled indoor and outdoor air flows and disturbances. This paper presents a systematic review of mixed-mode building controls. From the topical aspects of case studies, the paper analyses locations, climates, building and space types, and sensors. From a control point of view, the paper presents control algorithms based on a well-structured taxonomy, where various algorithms are classified into four categories (On-Off and PID control, rule-based control, optimal control including model predictive control and reinforcement learning, and computational intelligence including fuzzy logic and data-driven control). From an evaluation point of view, the paper illustrates evaluation platforms (simulation and real-world implementation) and results. Modelling and control tools for (co-) simulation are summarised. The evaluation results are compared based on metrics of natural ventilation and night cooling potentials, thermal comfort, indoor air quality, and energy savings. Finally, findings from the review and future research concerns are discussed.</t>
  </si>
  <si>
    <t xml:space="preserve">ORI-068</t>
  </si>
  <si>
    <t xml:space="preserve">Innovative AI strategies for enhancing smart building operations through digital twins: A survey</t>
  </si>
  <si>
    <t xml:space="preserve">Oulefki, Adel; Kheddar, Hamza; Amira, Abbes; Kurugollu, Fatih; Himeur, Yassine; Bounceur, Ahcene</t>
  </si>
  <si>
    <t xml:space="preserve">10.1016/j.enbuild.2025.115567</t>
  </si>
  <si>
    <t xml:space="preserve">The Digital Twins (DT) have emerged as a digital transformation automation process with ubiquitous applications that span various domains, including buildings, manufacturing, and healthcare. These virtual clones of physical systems provide relevant insights, enhance decision-making processes, and optimize operations, along with allowing the prediction of future operations. Artificial intelligence (AI) has been instrumental in enhancing the functionalities of DT. This survey paper explores recent developments in advanced AI algorithms tailored for DT in building settings. Moreover, a wide spectrum of AI techniques designed to address the challenges posed by DT in buildings are categorized and reviewed, including convolution neural networks (CNN), recurrent neural networks (RNNs), and generative adversarial networks (GANs), among other cutting edge transformative technologies. Furthermore, the integration of reinforcement learning (RL) and transfer learning (TL) into the DT ecosystem is discussed. This survey explores practical use cases, such as predictive scenarios, anomaly detection, and optimization of DT models. The incorporation of multimodal AI sensor data and edge computing in enhancing the accuracy and efficiency of DT is analyzed. Additionally, challenges and future directions in the field are explored, including data privacy concerns using Blockchain (BC), scalability issues, and the potential impact of quantum computing (QC) and large language models (LLMs) on DT technology. This comprehensive survey serves as a valuable resource for researchers, practitioners, and decision makers looking to utilize cutting-edge techniques to harness the full potential of DT technology in smart buildings (SB).</t>
  </si>
  <si>
    <t xml:space="preserve">ORI-130</t>
  </si>
  <si>
    <t xml:space="preserve">Intelligent Energy Management Systems for Electrified Vehicles: Current Status, Challenges, and Emerging Trends</t>
  </si>
  <si>
    <t xml:space="preserve">R. Ostadian; J. Ramoul; A. Biswas; A. Emadi</t>
  </si>
  <si>
    <t xml:space="preserve">IEEE Open Journal of Vehicular Technology</t>
  </si>
  <si>
    <t xml:space="preserve">10.1109/ojvt.2020.3018146</t>
  </si>
  <si>
    <t xml:space="preserve">Powertrain electrification has heightened the need for an energy management strategy, which has been a continuing concern in the development of electrified vehicles. The energy management control unit manages power flow between different energy sources in an electrified powertrain that directly affects vehicle performance. Developing an energy management strategy that is compatible with different real-world driving scenarios has opened a significant field of study for researchers. Recent advances and progress in intelligent control approaches have facilitated developing an intelligent energy management strategy. However, there are inadequate numbers of studies on the latest energy management strategies. The presented review paper aims to provide the requirements of intelligent energy management strategies as well as a new categorization of them into principle-based, data-driven, and composite methods. Besides, enabling technologies for implementing an energy management system with a comparison of different controller chips are described to give readers an experimental view. Future trends and existing challenges are presented, which generate fresh insight into energy management strategies.</t>
  </si>
  <si>
    <t xml:space="preserve">ORI-133</t>
  </si>
  <si>
    <t xml:space="preserve">Intelligent Learning Algorithm and Intelligent Transportation-Based Energy Management Strategies for Hybrid Electric Vehicles: A Review</t>
  </si>
  <si>
    <t xml:space="preserve">J. Gan; S. Li; C. Wei; L. Deng; X. Tang</t>
  </si>
  <si>
    <t xml:space="preserve">10.1109/tits.2023.3283010</t>
  </si>
  <si>
    <t xml:space="preserve">As one of the alternatives to conventional fuel vehicles, hybrid electric vehicles (HEV) offer lower fuel consumption and fewer exhaust emissions. To improve the performance of the HEV, the energy management strategy (EMS) is one of the most critical technologies. Classic EMS can be broadly classified into rule-based and optimization-based. With the development of machine learning technology, the deep reinforcement learning (DRL) algorithm of intelligent learning algorithms has been applied to the EMS. This paper mainly reviews the research progress of the EMS based on DRL from two aspects of the algorithm and training environment, and the EMS research involving combining the intelligent transportation system (ITS) is reviewed. In addition, the experimental test progress situations of DRL-based EMS research are discussed. Finally, the challenge of DRL-based EMSs is analyzed and some solutions are provided. In particular, it also involves some discussion about automotive cyber security in the intelligent transportation environment.</t>
  </si>
  <si>
    <t xml:space="preserve">ORI-091</t>
  </si>
  <si>
    <t xml:space="preserve">Large Language Models Integration in Smart Grids</t>
  </si>
  <si>
    <t xml:space="preserve">Madani, Seyyedreza; Tavasoli, Ahmadreza; Khoshtarash Astaneh, Zahra; Pineau, Pierre-Olivier</t>
  </si>
  <si>
    <t xml:space="preserve">10.1016/j.egyr.2025.06.051</t>
  </si>
  <si>
    <t xml:space="preserve">Large Language Models (LLMs) are changing the way we operate our society and will undoubtedly impact power systems as well—but how exactly? By integrating various data streams—including real-time grid data, market dynamics, and consumer behaviors—LLMs have the potential to make power system operations more adaptive, enhance proactive security measures, and deliver personalized energy services. This paper provides a comprehensive analysis of 30 real-world applications across eight key categories: Grid Operations and Management, Energy Markets and Trading, Personalized Energy Management and Customer Engagement, Grid Planning and Education, Grid Security and Compliance, Advanced Data Analysis and Knowledge Discovery, Emerging Applications and Societal Impact, and LLM-Enhanced Reinforcement Learning. Critical technical hurdles, such as data privacy and model reliability, are examined, along with possible solutions. Ultimately, this review illustrates how LLMs can significantly contribute to building more resilient, efficient, and sustainable energy infrastructures, underscoring the necessity of their responsible and equitable deployment.</t>
  </si>
  <si>
    <t xml:space="preserve">ORI-106</t>
  </si>
  <si>
    <t xml:space="preserve">Lessons learned from field demonstrations of model predictive control and reinforcement learning for residential and commercial HVAC: A review</t>
  </si>
  <si>
    <t xml:space="preserve">Khabbazi, Arash J.; Pergantis, Elias N.; Reyes Premer, Levi D.; Papageorgiou, Panagiotis; Lee, Alex H.; Braun, James E.; Henze, Gregor P.; Kircher, Kevin J.</t>
  </si>
  <si>
    <t xml:space="preserve">10.1016/j.apenergy.2025.126459</t>
  </si>
  <si>
    <t xml:space="preserve">Contextual only</t>
  </si>
  <si>
    <t xml:space="preserve">MPC and RL evidence is pooled and RL-specific findings are not separable</t>
  </si>
  <si>
    <t xml:space="preserve">Used in Discussion; excluded from quantitative denominator</t>
  </si>
  <si>
    <t xml:space="preserve">A large body of simulation research suggests that model predictive control (MPC) and reinforcement learning (RL) for heating, ventilation, and air-conditioning (HVAC) in residential and commercial buildings could reduce energy costs, pollutant emissions, and strain on power grids. Despite this potential, neither MPC nor RL has seen widespread industry adoption. Field demonstrations could accelerate MPC and RL adoption by providing real-world data that support the business case for deployment. Here we review 24 papers that document field demonstrations of MPC and RL in residential buildings and 80 in commercial buildings. After presenting demographic information – such as experiment scopes, locations, and durations – this paper analyzes experiment protocols and their influence on performance estimates. We find that 71 % of the reviewed field demonstrations use experiment protocols that may lead to unreliable performance estimates. Over the remaining 29 % that we view as reliable, the weighted-average cost savings, weighted by experiment duration, are 16 % in residential buildings and 13 % in commercial buildings. While these savings are potentially attractive, making the business case for MPC and RL also requires characterizing the costs of deployment, operation, and maintenance. Only 13 of the 104 reviewed papers report these costs or discuss related challenges. Based on these observations, we recommend directions for future field research, including: Improving experiment protocols; reporting deployment, operation, and maintenance costs; designing algorithms and instrumentation to reduce these costs; controlling HVAC equipment alongside other distributed energy resources; and pursuing emerging objectives such as peak shaving, arbitraging wholesale energy prices, and providing power grid reliability services.</t>
  </si>
  <si>
    <t xml:space="preserve">ORI-141</t>
  </si>
  <si>
    <t xml:space="preserve">Leveraging Machine Learning and Big Data for Smart Buildings: A Comprehensive Survey</t>
  </si>
  <si>
    <t xml:space="preserve">B. Qolomany; A. Al-Fuqaha; A. Gupta; D. Benhaddou; S. Alwajidi; J. Qadir; A. C. Fong</t>
  </si>
  <si>
    <t xml:space="preserve">10.1109/access.2019.2926642</t>
  </si>
  <si>
    <t xml:space="preserve">Future buildings will offer new convenience, comfort, and efficiency possibilities to their residents. Changes will occur to the way people live as technology involves people's lives and information processing is fully integrated into their daily living activities and objects. The future expectation of smart buildings includes making the residents' experience as easy and comfortable as possible. The massive streaming data generated and captured by smart building appliances and devices contain valuable information that needs to be mined to facilitate timely actions and better decision making. Machine learning and big data analytics will undoubtedly play a critical role to enable the delivery of such smart services. In this paper, we survey the area of smart building with a special focus on the role of techniques from machine learning and big data analytics. This survey also reviews the current trends and challenges faced in the development of smart building services.</t>
  </si>
  <si>
    <t xml:space="preserve">ORI-021</t>
  </si>
  <si>
    <t xml:space="preserve">Leveraging machine learning for efficient EV integration as mobile battery energy storage systems: Exploring strategic frameworks and incentives</t>
  </si>
  <si>
    <t xml:space="preserve">Salehpour, MJ; Hossain, MJ</t>
  </si>
  <si>
    <t xml:space="preserve">10.1016/j.est.2024.112151</t>
  </si>
  <si>
    <t xml:space="preserve">The emergence of electric vehicles is reshaping the energy landscape, requiring the development of innovative energy integration mechanisms to engage prosumers. However, current methods face numerous challenges when actively involving communities. Some key challenges include system uncertainties and time issues, optimizing charging strategies, real-time decision -making needs, privacy concerns, and battery degradation. For instance, the unpredictability of driver behavior and traffic conditions introduces complexities in devising efficient energy integration strategies and economic incentive models. The intricate interplay of these factors necessitates advanced computational techniques, making machine learning an invaluable tool. This paper concisely reviews prominent machine learning algorithms, encompassing supervised and unsupervised learning, focusing on their distinctive capabilities in prediction, clustering, dimensionality reduction, and generative modeling. Additionally, it explores reinforcement learning, emphasizing its aptitude for real-time decision -making. The focus of the study lies in the application of advanced algorithms, specifically examining their effectiveness in various strategic operational frameworks. The aim is to integrate electric vehicles into power systems efficiently. These frameworks include bargaining, contracts, auctions, game theory, and economic incentives such as pricing and cost -profit optimization. Each application includes a concise overview of the general methodology and investigates in-depth discussions regarding the suitability and challenges of deploying machine learning techniques. This paper will guide industry professionals in implementing solutions for electric vehicle dispatching problems and provide valuable insights to academics for further research and development.</t>
  </si>
  <si>
    <t xml:space="preserve">ORI-165</t>
  </si>
  <si>
    <t xml:space="preserve">Machine Learning for Power, Energy, and Thermal Management on Multicore Processors: A Survey</t>
  </si>
  <si>
    <t xml:space="preserve">S. Pagani; P. D. S. Manoj; A. Jantsch; J. Henkel</t>
  </si>
  <si>
    <t xml:space="preserve">IEEE Transactions on Computer-Aided Design of Integrated Circuits and Systems</t>
  </si>
  <si>
    <t xml:space="preserve">10.1109/tcad.2018.2878168</t>
  </si>
  <si>
    <t xml:space="preserve">Due to the high integration density and roadblock of voltage scaling, modern multicore processors experience higher power densities than previous technology scaling nodes. When unattended, this issue might lead to temperature hot spots, that in turn may cause nonuniform aging, accelerate chip failure, impair reliability, and reduce the performance of the system. This paper presents an overview of several research efforts that propose to use machine learning (ML) techniques for power and thermal management on single-core and multicore processors. Traditional power and thermal management techniques rely on a certain a-priori knowledge of the chip's thermal model, as well as information of the workloads/applications to be executed (e.g., transient and average power consumption). Nevertheless, these a-priori information is not always available, and even if it is, it cannot reflect the spatial and temporal uncertainties and variations that come from the environment, the hardware, or from the workloads/applications. Contrarily, techniques based on ML can potentially adapt to varying system conditions and workloads, learning from past events in order to improve themselves as the environment changes, resulting in improved management decisions.</t>
  </si>
  <si>
    <t xml:space="preserve">ORI-018</t>
  </si>
  <si>
    <t xml:space="preserve">Machine Learning in Wireless Sensor Networks for Smart Cities: A Survey</t>
  </si>
  <si>
    <t xml:space="preserve">Sharma, H; Haque, A; Blaabjerg, F</t>
  </si>
  <si>
    <t xml:space="preserve">10.3390/electronics10091012</t>
  </si>
  <si>
    <t xml:space="preserve">Artificial intelligence (AI) and machine learning (ML) techniques have huge potential to efficiently manage the automated operation of the internet of things (IoT) nodes deployed in smart cities. In smart cities, the major IoT applications are smart traffic monitoring, smart waste management, smart buildings and patient healthcare monitoring. The small size IoT nodes based on low power Bluetooth (IEEE 802.15.1) standard and wireless sensor networks (WSN) (IEEE 802.15.4) standard are generally used for transmission of data to a remote location using gateways. The WSN based IoT (WSN-IoT) design problems include network coverage and connectivity issues, energy consumption, bandwidth requirement, network lifetime maximization, communication protocols and state of the art infrastructure. In this paper, the authors propose machine learning methods as an optimization tool for regular WSN-IoT nodes deployed in smart city applications. As per the author's knowledge, this is the first in-depth literature survey of all ML techniques in the field of low power consumption WSN-IoT for smart cities. The results of this unique survey article show that the supervised learning algorithms have been most widely used (61%) as compared to reinforcement learning (27%) and unsupervised learning (12%) for smart city applications.</t>
  </si>
  <si>
    <t xml:space="preserve">ORI-081</t>
  </si>
  <si>
    <t xml:space="preserve">Measuring the right factors: A review of variables and models for thermal comfort and indoor air quality</t>
  </si>
  <si>
    <t xml:space="preserve">Ma, Nan; Aviv, Dorit; Guo, Hongshan; Braham, William W.</t>
  </si>
  <si>
    <t xml:space="preserve">10.1016/j.rser.2020.110436</t>
  </si>
  <si>
    <t xml:space="preserve">The indoor environment directly affects health and comfort as humans spend most of the day indoors. However, improperly controlled ventilation systems can expend unnecessary energy and increase health risks, while improved thermal and air quality can often result in higher energy consumption. One way to approach this dilemma is by understanding the effectiveness of the variables influencing indoor air quality (IAQ) related health and comfort. The objective of this paper is to highlight evidence and variables from empirical and deterministic models, which are combined in analytical models that current machine learning techniques often overlook. This paper reviews the analytical models and identifies the corresponding input variables, discussing their application in models based on artificial neural networks (ANNs) and reinforcement learning (RL). ANN and RL models have accurately described non-linear systems with uncertain dynamics and provided predictive and adaptive control strategies. The first part of this study focuses on the most common thermal comfort models and their variables, mainly related to steady-state and adaptive models. The second part reviews typical models of determining indoor air pollutants and their relationship with ventilation requirements and health effects. Forty-five works closely related to the field are summarized in multiple tables. The last part identifies the factors needed to predict thermal comfort and IAQ.</t>
  </si>
  <si>
    <t xml:space="preserve">ORI-128</t>
  </si>
  <si>
    <t xml:space="preserve">Microgrid Energy Management with Energy Storage Systems: A Review</t>
  </si>
  <si>
    <t xml:space="preserve">X. Liu; T. Zhao; H. Deng; P. Wang; J. Liu; F. Blaabjerg</t>
  </si>
  <si>
    <t xml:space="preserve">10.17775/cseejpes.2022.04290</t>
  </si>
  <si>
    <t xml:space="preserve">Microgrids (MGs) are playing a fundamental role in the transition of energy systems towards a low carbon future due to the advantages of a highly efficient network architecture for flexible integration of various DC/AC loads, distributed renewable energy sources, and energy storage systems, as well as a more resilient and economical on/off-grid control, operation, and energy management. However, MGs, as newcomers to the utility grid, are also facing challenges due to economic deregulation of energy systems, restructuring of generation, and market-based operation. This paper comprehensively summarizes the published research works in the areas of MGs and related energy management modelling and solution techniques. First, MGs and energy storage systems are classified into multiple branches and typical combinations as the backbone of MG energy management. Second, energy management models under exogenous and endogenous uncertainties are summarized and extended to transactive energy management. Mathematical programming, adaptive dynamic programming, and deep reinforcement learning-based solution methods are investigated accordingly, together with their implementation schemes. Finally, problems for future energy management systems with dynamics-captured critical component models, stability constraints, resilience awareness, market operation, and emerging computational techniques are discussed.</t>
  </si>
  <si>
    <t xml:space="preserve">ORI-012</t>
  </si>
  <si>
    <t xml:space="preserve">Model-Free HVAC Control in Buildings: A Review</t>
  </si>
  <si>
    <t xml:space="preserve">Michailidis, P; Michailidis, I; Vamvakas, D; Kosmatopoulos, E</t>
  </si>
  <si>
    <t xml:space="preserve">10.3390/en16207124</t>
  </si>
  <si>
    <t xml:space="preserve">Reinforcement learning is one of several model-free control methods</t>
  </si>
  <si>
    <t xml:space="preserve">Building control is central but RL is not the central review subject</t>
  </si>
  <si>
    <t xml:space="preserve">The efficient control of HVAC devices in building structures is mandatory for achieving energy savings and comfort. To balance these objectives efficiently, it is essential to incorporate adequate advanced control strategies to adapt to varying environmental conditions and occupant preferences. Model-free control approaches for building HVAC systems have gained significant interest due to their flexibility and ability to adapt to complex, dynamic systems without relying on explicit mathematical models. The current review presents the recent advancements in HVAC control, with an emphasis on reinforcement learning, artificial neural networks, fuzzy logic control, and their hybrid integration with other model-free algorithms. The main focus of this study is a literature review of the most notable research from 2015 to 2023, highlighting the most highly cited applications and their contributions to the field. After analyzing the concept of each work according to its control strategy, a detailed evaluation across different thematic areas is conducted. To this end, the prevalence of methodologies, utilization of different HVAC equipment, and diverse testbed features, such as building zoning and utilization, are further discussed considering the entire body of work to identify different patterns and trends in the field of model-free HVAC control. Last but not least, based on a detailed evaluation of the research in the field, the current work provides future directions for model-free HVAC control considering different aspects and thematic areas.</t>
  </si>
  <si>
    <t xml:space="preserve">ORI-148</t>
  </si>
  <si>
    <t xml:space="preserve">Model-Free Reinforcement Learning in Microgrid Control: A Review</t>
  </si>
  <si>
    <t xml:space="preserve">F. Batincan Gurbuz; A. Karaki; A. Karaki; S. Demirbas; S. Bayhan</t>
  </si>
  <si>
    <t xml:space="preserve">10.1109/access.2025.3609317</t>
  </si>
  <si>
    <t xml:space="preserve">The global shift toward distributed energy resources (DERs) has accelerated the deployment of microgrids (MGs), introducing unprecedented control challenges that traditional strategies often struggle to address. Model-free reinforcement learning (MFRL) has emerged as a promising paradigm for adaptive, intelligent control without the need for explicit system modeling. This paper presents a comprehensive review of MFRL applications in MG control, proposing a systematic taxonomy that classifies existing approaches by control hierarchy, architectural configuration, operational modes, and action spaces. We analyze critical design considerations—including reward function shaping, exploration strategies, and computational requirements—that influence practical deployment. Furthermore, we systematically evaluate key MFRL algorithms and map their suitability across primary, secondary, and tertiary control levels. By examining recent applications, we highlight that MFRL has reached considerable maturity across all control hierarchies, revealing clear trends: continuous-action methods excel in real-time primary control, distributed schemes enhance scalability in secondary coordination, and multi-agent frameworks enable complex tertiary-level optimization. Finally, the review identifies persistent implementation challenges and offers practical guidance for algorithm selection and deployment strategies in modern MG systems. This review aims to serve both researchers and practitioners seeking to deploy MFRL in modern MG systems.</t>
  </si>
  <si>
    <t xml:space="preserve">ORI-120</t>
  </si>
  <si>
    <t xml:space="preserve">With the rapid advancements in digital technologies, changes in regulatory and societal expectations, and increased environmental awareness and concerns among building owners and occupants, the design and effectiveness of building control systems and their energy usage are under constant scrutiny as never before. The reshaping and integration of building controls with Internet of Things (IoT) devices have led to the growing popularity of Reinforcement Learning (RL) in the built environment. Multi-objective reinforcement learning (MORL) is touted to be more effective than traditional RL in optimizing smart building operations by resolving multifaceted goals, improving policy adaptability and decision-making processes involving multiple stakeholders and criteria. Hitherto, little is known of the full potential of MORL and its application trends. In addressing this, this research aims to build a knowledge base around the application trends of MORL framework and its benefits for smart building energy design and control systems through a systematic and critical review using the Preferred Reporting Items for Systematic Reviews and Meta-Analyses (PRISMA) guidelines. A total of 1071 studies were retrieved, of which 74 studies were included in the final assessment to present and discuss: (i) objectives RL typically in smart building context; (ii) overview of the design and control strategies of MORL in smart buildings; (iii) MORL applications and performance evaluation in smart building; and (iv) challenges and future research directions and opportunities. Overall, our findings reveal potential work done to explore the use of MORL towards controlling multiple policies and complex dynamic building environments, and that current studies tend to focus on incorporating occupancy patterns and/or occupant feedback into the MORL control loop.</t>
  </si>
  <si>
    <t xml:space="preserve">ORI-111</t>
  </si>
  <si>
    <t xml:space="preserve">Occupant behavior modeling methods for resilient building design, operation and policy at urban scale: A review</t>
  </si>
  <si>
    <t xml:space="preserve">Dong, Bing; Liu, Yapan; Fontenot, Hannah; Ouf, Mohamed; Osman, Mohamed; Chong, Adrian; Qin, Shuxu; Salim, Flora; Xue, Hao; Yan, Da; Jin, Yuan; Han, Mengjie; Zhang, Xingxing; Azar, Elie; Carlucci, Salvatore</t>
  </si>
  <si>
    <t xml:space="preserve">10.1016/j.apenergy.2021.116856</t>
  </si>
  <si>
    <t xml:space="preserve">Traditional occupant behavior modeling has been studied at the building level, and it has become an important factor in the investigation of building energy consumption. However, studies modeling occupant behaviors at the urban scale are still limited. Recent work has revealed that urban big data can enable occupant behavior modeling at the urban scale – however, utilizing the existing data sources and modeling methods in building science to model urban scale occupant behaviors can be quite challenging. Beyond building science, urban scale human behaviors have been studied in several different domains using more advanced modeling methods, including Stochastic Modeling, Neural Networks, Reinforcement Learning, Network Modeling, etc. This paper aims to bridge the gap between data sources and modeling methodologies in building science by borrowing from other domains. Based on a comprehensive review, we 1) identify the modeling challenges of the current approaches in building science, 2) discuss the modeling requirements and data sources both in building science and other domains, 3) review the current modeling methods in building science and other domains, and 4) summarize available performance evaluation metrics for evaluating the modeling methods. Finally, we present future opportunities in building science with enhanced data sources and modeling methods from other domains.</t>
  </si>
  <si>
    <t xml:space="preserve">ORI-098</t>
  </si>
  <si>
    <t xml:space="preserve">Optimisation algorithms used in home energy management systems: A review</t>
  </si>
  <si>
    <t xml:space="preserve">Varghese, Benjohn Koodakatt; Das, Narottam; Ray, Biplob; Mazid, Abdul Md; Jahan, Israt; Nur-E-Alam, Mohammad</t>
  </si>
  <si>
    <t xml:space="preserve">10.1016/j.enbuild.2025.116338</t>
  </si>
  <si>
    <t xml:space="preserve">The growing number of photovoltaic (PV) systems deployed in houses and the increase in energy consumption have made home energy management systems (HEMS) indispensable. As climate concern is important for today’s environment, research into developing energy-efficient technologies has gained momentum and it has become one of the major research topics in sustainable energy including building sustainability. Residential energy usage accounts for approximately 30% of total energy consumption nationwide. Therefore, an efficient management of household energy consumption potentially can save energy that can directly contribute to mitigate the climate change impact on the environment. A household energy consumption typically can be controlled by using smart scheduling appliances. The use of optimization methods by HEMS may greatly lower energy consumption and increase energy uses efficiency. The application of Particle Swarm Optimization (PSO) and the Grey Wolf Optimization (GWO) techniques, for example, have shown energy cost reduction up to 20% to 25%. As revealed, the Advanced Deep Reinforcement Learning (DRL) techniques have demonstrated enhanced adaptability to dynamic environments resulting in up to 13% reductions in peak-hour energy demand. This paper offers a critical review on optimization algorithms used in HEMS categorizing into mathematical, heuristic, and machine learning-based HEMS methods. Analysing the contributions and limitations and real-world applicability of these methods and relevant techniques, the review article highlights recent trends and gaps in existing HEMS research. While conventional strategies like linear programming works well for small-scale systems, newer approaches like Machine Learning (ML) and DRL are found to be more accurate and scalable for dynamic, real-time optimization. To create smarter, more adaptive HEMS that can effectively manage complex energy systems, future research directions highlight the necessity of hybrid optimization approaches that combine multiple algorithms, improved real-time processing capabilities, and the integration of Internet of Things (IoT) and edge computing technologies.</t>
  </si>
  <si>
    <t xml:space="preserve">ORI-020</t>
  </si>
  <si>
    <t xml:space="preserve">Optimizing Performance of Hybrid Electrochemical Energy Storage Systems through Effective Control: A Comprehensive Review</t>
  </si>
  <si>
    <t xml:space="preserve">Clemente, A; Arias, P; Gevorkov, L; Trilla, L; Rey, SO; Roger, XS; Domínguez-García, JL; Martínez, AF</t>
  </si>
  <si>
    <t xml:space="preserve">10.3390/electronics13071258</t>
  </si>
  <si>
    <t xml:space="preserve">The implementation of energy storage system (ESS) technology with an appropriate control system can enhance the resilience and economic performance of power systems. However, none of the storage options available today can perform at their best in every situation. As a matter of fact, an isolated storage solution's energy and power density, lifespan, cost, and response time are its primary performance constraints. Batteries are the essential energy storage component used in electric mobility, industries, and household applications nowadays. In general, the battery energy storage systems (BESS) currently available on the market are based on a homogeneous type of electrochemical battery. However, a hybrid energy storage system (HESS) based on a mixture of various types of electrochemical batteries can potentially provide a better option for high-performance electric cars, heavy-duty electric vehicles, industries, and residential purposes. A hybrid energy storage system combines two or more electrochemical energy storage systems to provide a more reliable and efficient energy storage solution. At the same time, the integration of multiple energy storage systems in an HESS requires advanced control strategies to ensure optimal performance and longevity of the system. This review paper aims to provide a comprehensive overview of the control systems used in HESSs for a wide range of applications. An overview of the various control strategies used in HESSs is offered, including traditional control methods such as proportional-integral-derivative (PID) control, and advanced control methods such as model predictive control (MPC), droop control (DC), sliding mode control (SMC), rule-based control (RBC), fuzzy logic control (FLC), and artificial neural network (ANN) control are discussed. The paper also highlights the recent developments in HESS control systems, including the use of machine learning techniques such as deep reinforcement learning (DRL) and genetic algorithms (GA). The paper provides not only a description and classification of various control approaches but also a comparison between control strategies from the evaluation of performance point of view. The review concludes by summarizing the key findings and future research directions for HESS control systems, which is directly linked to the research on machine learning and the mix of different control type strategies.</t>
  </si>
  <si>
    <t xml:space="preserve">ORI-172</t>
  </si>
  <si>
    <t xml:space="preserve">Power Architectures, Control Strategies, and Thermal Management in Fuel Cell Electric Vehicles: A Comprehensive Review</t>
  </si>
  <si>
    <t xml:space="preserve">A. Edpuganti; K. T. Tan; B. Sivaneasan; K. Pareek</t>
  </si>
  <si>
    <t xml:space="preserve">IEEE Journal of Emerging and Selected Topics in Industrial Electronics</t>
  </si>
  <si>
    <t xml:space="preserve">10.1109/jestie.2026.3693232</t>
  </si>
  <si>
    <t xml:space="preserve">Fuel cell electric vehicles (FCEVs) are emerging as a promising solution for zero-emission transportation, combining high energy density with fast refueling capability. However, the practical deployment of FCEVs critically depends on efficient power architectures, advanced control strategies, and robust thermal management to address the inherent limitations of fuel cell dynamics, auxiliary energy storage integration, and system reliability. This article presents a comprehensive review of FCEV technologies with a primary focus on power electronic architectures, followed by an in-depth discussion of fuel cell control strategies and thermal management techniques. The future research directions are also identified, emphasizing the need for highly integrated, reliable, and intelligent power-electronic-driven solutions for next-generation FCEVs.</t>
  </si>
  <si>
    <t xml:space="preserve">ORI-019</t>
  </si>
  <si>
    <t xml:space="preserve">Predictive control strategies based on weather forecast in buildings with energy storage system: A review of the state-of-the art</t>
  </si>
  <si>
    <t xml:space="preserve">Thieblemont, H; Haghighat, F; Ooka, R; Moreau, A</t>
  </si>
  <si>
    <t xml:space="preserve">10.1016/j.enbuild.2017.08.010</t>
  </si>
  <si>
    <t xml:space="preserve">Energy storage systems play a crucial role in decreasing building energy consumption during peak periods and expanding the use of renewable energies in buildings and communities. To have a high system performance, the energy storage system has to be properly controlled while maintaining a comfortable thermal environment for the occupants. However, defining the optimal charging period for a storage system may be difficult since storage systems address issues with conflicting needs between cost saving and thermal comfort. Moreover, with the increase of the use of renewable energies, the complexity increases with the consideration of the renewable energy production. As a result, the decision process should be able to predict both loads and renewable energy production in order to increase the storage system efficiency. This necessity explains the increasing interest during the last decade for predictive control, i.e., control system considering the forecasting. This paper reviews the recent advancements in building predictive control with energy storage system. Special attention is paid to its limitations and abilities. (C) 2017 Elsevier B.V. All rights reserved.</t>
  </si>
  <si>
    <t xml:space="preserve">ORI-078</t>
  </si>
  <si>
    <t xml:space="preserve">Prospects and challenges of reinforcement learning- based HVAC control</t>
  </si>
  <si>
    <t xml:space="preserve">Ajifowowe, Iyanu; Chang, Hojong; Lee, Chae Seok; Chang, Seongju</t>
  </si>
  <si>
    <t xml:space="preserve">10.1016/j.jobe.2024.111080</t>
  </si>
  <si>
    <t xml:space="preserve">Increasing worldwide energy demand and the resulting escalations in greenhouse gas emissions require a reassessment of energy usage in many sectors. The building industry, which accounts for more than 40 % of the world's energy consumption and 30 % of its greenhouse gas emissions, highlights how urgent it is to find sustainable and energy-efficient solutions. Optimization of HVAC systems has since become crucial, as these systems are part of the primary source of energy consumption in buildings. The adaptability and robustness of traditional HVAC control systems, such as model predictive control (MPC) and rule-based control, are limited, which has led to the investigation of alternative strategies. This study comprehensively explores diverse HVAC control methodologies, from traditional techniques to cutting-edge machine learning-driven models. The analysis details the strengths, weaknesses, and applications of these control methods, emphasizing the pursuit of energy efficiency and optimal occupant comfort. Notably, reinforcement learning (RL) control distinguishes itself with its adaptive nature, effectively responding to dynamic environmental changes. However, the validation of RL models predominantly focuses on residential and commercial buildings, with limited attention given to industrial structures. Reviewing performance trends reveals that value-based RL methods perform better in residential settings, while actor-critic RL approaches demonstrate superiority under commercial settingssettings based on the findings of our study, future RL-based HVAC control directions needed for further exploration were discussed.</t>
  </si>
  <si>
    <t xml:space="preserve">ORI-084</t>
  </si>
  <si>
    <t xml:space="preserve">Recent advancements of robotics in construction</t>
  </si>
  <si>
    <t xml:space="preserve">Xiao, Bo; Chen, Chen; Yin, Xianfei</t>
  </si>
  <si>
    <t xml:space="preserve">10.1016/j.autcon.2022.104591</t>
  </si>
  <si>
    <t xml:space="preserve">In the past two decades, robotics in construction (RiC) has become an interdisciplinary research field that integrates a large number of urgent technologies (e.g., additive manufacturing, deep learning, building information modelling (BIM)), resulting in the related literature being both fragmented and vast. This paper has explored the advances in RiC in the past two decades using a mixed quantitative-qualitative review method. Initially, 940 related articles (170 journal articles and 770 conference papers) were identified by keyword-searching in Scopus and then fed into a bibliometric analysis to build science maps. Following this, a qualitative discussion highlights recent achievements in RiC across three dimensions: tasks, algorithms, and collaborations. Moreover, four future research directions are proposed: 1) in-depth integration of BIM and robotics; 2) near-site robotic fabrication; 3) deep reinforcement learning for flexible environment adaption; and 4) high-level robot-to-robot collaboration. The contributions of this research are twofold: 1) identifying the latest research topics and trends concerning robotic technologies in construction; and 2) providing in-depth insights into the future direction of RiC. The findings from this research can serve both academia and industry in terms of promoting robotic algorithms, hardware, and applications in construction industry.</t>
  </si>
  <si>
    <t xml:space="preserve">ORI-088</t>
  </si>
  <si>
    <t xml:space="preserve">Recent advances in data mining and machine learning for enhanced building energy management</t>
  </si>
  <si>
    <t xml:space="preserve">Zhou, Xinlei; Du, Han; Xue, Shan; Ma, Zhenjun</t>
  </si>
  <si>
    <t xml:space="preserve">10.1016/j.energy.2024.132636</t>
  </si>
  <si>
    <t xml:space="preserve">Due to the recent advancements in the Internet of Things and data science techniques, a wide range of studies have investigated the use of data mining (DM) and machine learning (ML) algorithms to enhance building energy management (BEM). However, different classes of DM and ML algorithms feature different mechanisms and capabilities, resulting in their distinct roles and performance in BEM. Appropriate integration of different categories of DM and ML algorithms in BEM is essential to promote their wide application and provide guidance for new topic areas. This study presents a literature review of the use of DM and ML techniques in key areas of BEM, including building performance evaluation, energy usage prediction, and demand flexibility optimization. The review categorizes DM and ML techniques into three main categories, including supervised DM, unsupervised DM, and reinforcement learning (RL). Unsupervised techniques are primarily used for building energy performance assessment, while supervised techniques are mainly employed for building performance benchmarking and energy usage prediction. RL has been utilized for optimal building control to improve efficiency, demand flexibility, and indoor thermal comfort. The strengths, shortcomings, and integration of these methods in terms of their applications in BEM are discussed, along with some suggestions for future research in this field.</t>
  </si>
  <si>
    <t xml:space="preserve">ORI-014</t>
  </si>
  <si>
    <t xml:space="preserve">Recent Progress in Learning Algorithms Applied in Energy Management of Hybrid Vehicles: A Comprehensive Review</t>
  </si>
  <si>
    <t xml:space="preserve">Xu, DZ; Zheng, CH; Cui, YD; Fu, SX; Kim, N; Cha, SW</t>
  </si>
  <si>
    <t xml:space="preserve">10.1007/s40684-022-00476-2</t>
  </si>
  <si>
    <t xml:space="preserve">Hybrid vehicles (HVs) that equip at least two different energy sources have been proven to be one of effective and promising solutions to mitigate the issues of energy crisis and environmental pollution. For HVs, one of the core supervisory control problems is the power distribution among multiple power sources, and for this problem, energy management strategies (EMSs) have been studied to save energy and extend the service life of HVs. In recent years, with the rapid development of artificial intelligence and computer technologies, learning algorithms have been gradually applied to the EMS field and shortly become a novel research hotspot. Although there are some brief reviews on the learning-based (LB) EMSs for HVs in recent years, a state-of-the-art and thorough review related to the applications of learning algorithms in HV EMSs still lacks. In this paper, learning algorithms applied in HV EMSs are categorized and reviewed in terms of the reinforcement learning algorithms and deep reinforcement learning algorithms. Apart from presenting the recent progress of learning algorithms applied in HV EMSs, advantages and disadvantages of different learning algorithms and LB EMSs are also discussed. Finally, a brief outlook related to the further applications of learning algorithms in HV EMSs, such as the integration towards autonomous driving and intelligent transportation system, is presented.</t>
  </si>
  <si>
    <t xml:space="preserve">ORI-117</t>
  </si>
  <si>
    <t xml:space="preserve">Recommender systems and reinforcement learning for human-building interaction and context aware support: A text mining-driven review of scientific literature</t>
  </si>
  <si>
    <t xml:space="preserve">Zhang, Wenhao; Quintana, Matias; Miller, Clayton</t>
  </si>
  <si>
    <t xml:space="preserve">10.1016/j.enbuild.2024.115247</t>
  </si>
  <si>
    <t xml:space="preserve">The indoor environment significantly impacts human health and well-being; enhancing health and reducing energy consumption in these settings is a central research focus. With the advancement of Information and Communication Technology (ICT), recommendation systems and reinforcement learning (RL) have emerged as promising approaches to induce behavioral changes to improve the indoor environment and energy efficiency of buildings. This study aims to employ text mining and Natural Language Processing (NLP) techniques to thoroughly examine the connections among these approaches in the context of human-building interaction and occupant context-aware support. The study analyzed 27,595 articles from the ScienceDirect database, revealing extensive use of recommendation systems and RL for space optimization, location recommendations, and personalized control suggestions. Although these systems are broadly applied to specific content, their use in optimizing indoor environments and energy efficiency remains limited. This gap likely arises from the need for interdisciplinary knowledge and extensive sensor data. Traditional recommendation algorithms, including collaborative filtering, content-based and knowledge-based methods, are commonly employed. However, the more complex challenges of optimizing indoor conditions and energy efficiency often depend on sophisticated machine learning (ML) techniques like reinforcement and deep learning. Furthermore, this review underscores the vast potential for expanding recommender systems and RL applications in buildings and indoor environments. Fields ripe for innovation include predictive maintenance, building-related product recommendation, and optimization of environments tailored for specific needs, such as sleep and productivity enhancements based on user feedback. The study also notes the limitations of the method in capturing subtle academic nuances. Future improvements could involve integrating and fine-tuning pre-trained language models to better interpret complex texts.</t>
  </si>
  <si>
    <t xml:space="preserve">ORI-112</t>
  </si>
  <si>
    <t xml:space="preserve">Reinforcement and deep reinforcement learning for wireless Internet of Things: A survey</t>
  </si>
  <si>
    <t xml:space="preserve">Frikha, Mohamed Said; Gammar, Sonia Mettali; Lahmadi, Abdelkader; Andrey, Laurent</t>
  </si>
  <si>
    <t xml:space="preserve">Computer Communications</t>
  </si>
  <si>
    <t xml:space="preserve">10.1016/j.comcom.2021.07.014</t>
  </si>
  <si>
    <t xml:space="preserve">Nowadays, many research studies and industrial investigations have allowed the integration of the Internet of Things (IoT) in current and future networking applications by deploying a diversity of wireless-enabled devices ranging from smartphones, wearables, to sensors, drones, and connected vehicles. The growing number of IoT devices, the increasing complexity of IoT systems, and the large volume of generated data have made the monitoring and management of these networks extremely difficult. Numerous research papers have applied Reinforcement Learning (RL) and Deep Reinforcement Learning (DRL) techniques to overcome these difficulties by building IoT systems with effective and dynamic decision-making mechanisms, dealing with incomplete information related to their environments. The paper first reviews pre-existing surveys covering the application of RL and DRL techniques in IoT communication technologies and networking. The paper then analyzes the research papers that apply these techniques in wireless IoT to resolve issues related to routing, scheduling, resource allocation, dynamic spectrum access, energy, mobility, and caching. Finally, a discussion of the proposed approaches and their limits is followed by the identification of open issues to establish grounds for future research directions proposal.</t>
  </si>
  <si>
    <t xml:space="preserve">ORI-085</t>
  </si>
  <si>
    <t xml:space="preserve">Reinforcement learning algorithms in AC, DC, and hybrid microgrids applications: A comprehensive review</t>
  </si>
  <si>
    <t xml:space="preserve">Nasir, M.; Bansal, R.C.; Saloumi, M.</t>
  </si>
  <si>
    <t xml:space="preserve">10.1016/j.apenergy.2025.126724</t>
  </si>
  <si>
    <t xml:space="preserve">Over the past few years, the adoption of modern and intelligent energy systems, such as smart grids, microgrids, and smart buildings, has significantly increased. This surge in adoption is attributed to their advanced features, including bidirectional power flows, sophisticated metering systems, and the efficient integration of renewable energy resources. Despite the benefits, the growing adoption of these systems introduces new challenges in various aspects of power system management, particularly in operation and control. Additionally, the employment of advanced sensors and intelligent meters generates vast amounts of data, paving the way for innovative, data-driven approaches to tackle complex operational and control challenges. Among these strategies, Reinforcement Learning (RL) has emerged as a preferred technique for its applications in Energy Management System (EMS), addressing optimization challenges, controlling power flow, and beyond. This review paper provides a comprehensive analysis of RL in the context of microgrid systems. It explores RL’s fundamental principles, classifies the major algorithm types, and evaluates their applications across diverse microgrid architectures. Moreover, the paper critically examines the challenges associated with applying RL in microgrid systems and identifies promising avenues for future research, emphasizing both the limitations of current approaches and the domains that demand further investigation.</t>
  </si>
  <si>
    <t xml:space="preserve">ORI-126</t>
  </si>
  <si>
    <t xml:space="preserve">Reinforcement Learning and Its Applications in Modern Power and Energy Systems: A Review</t>
  </si>
  <si>
    <t xml:space="preserve">D. Cao; W. Hu; J. Zhao; G. Zhang; B. Zhang; Z. Liu; Z. Chen; F. Blaabjerg</t>
  </si>
  <si>
    <t xml:space="preserve">Journal of Modern Power Systems and Clean Energy</t>
  </si>
  <si>
    <t xml:space="preserve">10.35833/mpce.2020.000552</t>
  </si>
  <si>
    <t xml:space="preserve">With the growing integration of distributed energy resources (DERs), flexible loads, and other emerging technologies, there are increasing complexities and uncertainties for modern power and energy systems. This brings great challenges to the operation and control. Besides, with the deployment of advanced sensor and smart meters, a large number of data are generated, which brings opportunities for novel data-driven methods to deal with complicated operation and control issues. Among them, reinforcement learning (RL) is one of the most widely promoted methods for control and optimization problems. This paper provides a comprehensive literature review of RL in terms of basic ideas, various types of algorithms, and their applications in power and energy systems. The challenges and further works are also discussed.</t>
  </si>
  <si>
    <t xml:space="preserve">ORI-010</t>
  </si>
  <si>
    <t xml:space="preserve">Reinforcement learning based energy management systems and hydrogen refuelling stations for fuel cell electric vehicles: An overview</t>
  </si>
  <si>
    <t xml:space="preserve">Venkatasatish, R; Dhanamjayulu, C</t>
  </si>
  <si>
    <t xml:space="preserve">INTERNATIONAL JOURNAL OF HYDROGEN ENERGY</t>
  </si>
  <si>
    <t xml:space="preserve">10.1016/j.ijhydene.2022.06.088</t>
  </si>
  <si>
    <t xml:space="preserve">This paper examines the current state of the art of hydrogen refuelling stations-based production and storage systems for fuel cell hybrid electric vehicles (FCHEV). Nowadays, the emissions are increasing rapidly due to the usage of fossil fuels and the demand for hydrogen refuelling stations (HRS) is emerging to replace the conventional vehicles with FCHEVs. Hence, the availability of HRS and its economic aspects are discussed. In addition, a comprehensive study is presented on the energy storage systems such as batteries, supercapacitors and fuel cells which play a major role in the FCHEVs. An energy man-agement system (EMS) is essential to meet the load requirement with effective utilisation of power sources with various optimizing techniques. A detailed comparative analysis is presented on the merits of Reinforcement learning (RL) for the FCHEVs. The significant challenges are discussed in depth with potential solutions for future work.(c) 2022 Hydrogen Energy Publications LLC. Published by Elsevier Ltd. All rights reserved.</t>
  </si>
  <si>
    <t xml:space="preserve">ORI-136</t>
  </si>
  <si>
    <t xml:space="preserve">Reinforcement Learning Based EV Charging Management Systems–A Review</t>
  </si>
  <si>
    <t xml:space="preserve">H. M. Abdullah; A. Gastli; L. Ben-Brahim</t>
  </si>
  <si>
    <t xml:space="preserve">10.1109/access.2021.3064354</t>
  </si>
  <si>
    <t xml:space="preserve">To mitigate global warming and energy shortage, integration of renewable energy generation sources, energy storage systems, and plug-in electric vehicles (PEVs) have been introduced in recent years. The application of electric vehicles (EV) in the smart grid has shown a significant option to reduce carbon emission. However, due to the limited battery capacity, managing the charging and discharging process of EV as a distributed power supply is a challenging task. Moreover, the unpredictable nature of renewable energy generation, uncertainties of plug-in electric vehicles associated parameters, energy prices, and the time-varying load create new challenges for the researchers and industries to maintain a stable operation of the power system. The EV battery charging management system plays a main role in coordinating the charging and discharging mechanism to efficiently realize a secure, efficient, and reliable power system. More recently, there has been an increasing interest in data-driven approaches in EV charging modeling. Consequently, researchers are looking to deploy model-free approaches for solving the EV charging management with uncertainties. Among many existing model-free approaches, Reinforcement Learning (RL) has been widely used for EV charging management. Unlike other machine learning approaches, the RL technique is based on maximizing the cumulative reward. This article reviews the existing literature related to the RL-based framework, objectives, and architecture for the charging coordination strategies of electric vehicles in the power systems. In addition, the review paper presents a detailed comparative analysis of the techniques used for achieving different charging coordination objectives while satisfying multiple constraints. This article also focuses on the application of RL in EV coordination for research and development of the cutting-edge optimized energy management system (EMS), which are applicable for EV charging.</t>
  </si>
  <si>
    <t xml:space="preserve">ORI-060</t>
  </si>
  <si>
    <t xml:space="preserve">ORI-065</t>
  </si>
  <si>
    <t xml:space="preserve">As part of the broader digitalization of society, artificial intelligence is one promising way to improve and enhance energy use in buildings. Traditionally, the building service systems have been managed with manually tuned rule-based controllers. While they are cost-efficient and simple, they might suffer from suboptimality and lack of adaptivity to the changes in the surrounding environment. Reinforcement learning (RL) is a machine learning type well-suited for control and optimization tasks. In RL, optimal control is approached through trial and error, with the goal of maximizing cumulative rewards. In simulation studies, it has shown great potential for the control and optimization of building applications. While a lot of research has been conducted in this area, real-world implementations are harder to find. After concluding that AI-based market solutions exist, this review summarizes how thoroughly these applications have been tested on practical deployments and how these studies have addressed securing safety of the adaptive solutions and possibility to utilize the solutions on a wider scale. Digital twin solutions could enable pretraining and online deployment. Additionally, the paper evaluates how the ethical aspects are addressed in these implementations and concludes that the RL-control systems lack a systematic ethical analysis. Lack of long-term studies and the focus only on just heating or cooling instead of more holistic view considering the entire building management system leaves significant gaps in understanding the reliability and effectiveness of the proposed RL solutions in complex real-world settings.</t>
  </si>
  <si>
    <t xml:space="preserve">ORI-070</t>
  </si>
  <si>
    <t xml:space="preserve">Reinforcement learning for demand response: A review of algorithms and modeling techniques</t>
  </si>
  <si>
    <t xml:space="preserve">Vázquez-Canteli, José R.; Nagy, Zoltán</t>
  </si>
  <si>
    <t xml:space="preserve">10.1016/j.apenergy.2018.11.002</t>
  </si>
  <si>
    <t xml:space="preserve">Buildings account for about 40% of the global energy consumption. Renewable energy resources are one possibility to mitigate the dependence of residential buildings on the electrical grid. However, their integration into the existing grid infrastructure must be done carefully to avoid instability, and guarantee availability and security of supply. Demand response, or demand-side management, improves grid stability by increasing demand flexibility, and shifts peak demand towards periods of peak renewable energy generation by providing consumers with economic incentives. This paper reviews the use of reinforcement learning, a machine learning algorithm, for demand response applications in the smart grid. Reinforcement learning has been utilized to control diverse energy systems such as electric vehicles, heating ventilation and air conditioning (HVAC) systems, smart appliances, or batteries. The future of demand response greatly depends on its ability to prevent consumer discomfort and integrate human feedback into the control loop. Reinforcement learning is a potentially model-free algorithm that can adapt to its environment, as well as to human preferences by directly integrating user feedback into its control logic. Our review shows that, although many papers consider human comfort and satisfaction, most of them focus on single-agent systems with demand-independent electricity prices and a stationary environment. However, when electricity prices are modelled as demand-dependent variables, there is a risk of shifting the peak demand rather than shaving it. We identify a need to further explore reinforcement learning to coordinate multi-agent systems that can participate in demand response programs under demand-dependent electricity prices. Finally, we discuss directions for future research, e.g., quantifying how RL could adapt to changing urban conditions such as building refurbishment and urban or population growth.</t>
  </si>
  <si>
    <t xml:space="preserve">ORI-006</t>
  </si>
  <si>
    <t xml:space="preserve">Heating, Ventilation and Air Conditioning (HVAC) systems in buildings are a major source of global operational CO2 emissions, primarily due to their high energy demands. Traditional controllers have shown effectiveness in managing building energy use. However, they either struggle to handle complex environments or cannot incorporate learning from experience into their decision-making processes, leading to increased computational requirements. The potential solution to these drawbacks is reinforcement learning (RL), which can overcome them with its versatile and learning-based characteristics. In this context, this study presents a thorough literature review, focusing on studies published since 2019 that applied RL for HVAC system control. It bridges theoretical concepts and literature findings to identify suitable algorithms for each problem and to find gaps. It was found that RL deployment in real buildings is limited (23% of studies), with common training methods revealing fundamental technical problems that prevent their safe use: lack of diversification in exogenous state components (e.g., occupancy schedule, electricity price, and weather) that the agent receives in each episode during training in a way that reflects the diversity or unexpected change in real life. This necessitates repetitive, extensive retraining before real deployment, which is computationally expensive. Future research should focus on applying RL to real buildings by solving the previous problem. The meta-RL emerges as an up-and-coming solution for the generalization capabilities because it trains an agent on a wide range of tasks, making the agent more adaptive and reducing the computational cost. Further research should explore this direction.</t>
  </si>
  <si>
    <t xml:space="preserve">ORI-101</t>
  </si>
  <si>
    <t xml:space="preserve">Reinforcement learning for occupant behavior modeling in public buildings: Why, what and how?</t>
  </si>
  <si>
    <t xml:space="preserve">Yu, Hao; Xu, Xiaoxiao</t>
  </si>
  <si>
    <t xml:space="preserve">10.1016/j.jobe.2024.110491</t>
  </si>
  <si>
    <t xml:space="preserve">Effective control of energy consumption in public buildings holds paramount significance for global sustainable development. However, uncertainty in occupant behavior during operational phase often leads to a substantial discrepancy between the designed and actual energy consumption. While there is existing research on occupant behavior in public buildings utilizing stochastic modeling, statistical modeling, data mining, and agent-based modeling methods, the connotations and formation mechanisms have not been systematically revealed, rendering these developed models weak in applicability and reliability in practical scenarios. Reinforcement learning, which can perceive aspects of external environment and learn from stochastic interactions spontaneously, has been distinguished as a promising method for occupant behavior modeling. This research aims to develop a paradigm for reinforcement learning application in occupant behavior modeling in public buildings. Semi-structured interviews and literature review were combined to collect relevant information, while reasons for using reinforcement learning and applicable algorithms were discerned through qualitative analysis. Finally, detailed frameworks were proposed and validated through focus groups, offering a comprehensive guide that will serve as a reference for future research. This includes steps for collecting occupant-related data, selecting appropriate algorithms, and training and deploying reinforcement learning agents effectively. This research innovatively proposed a “panorama” of reinforcement learning for occupant behavior modeling in public buildings, laying a solid foundation for indoor environment and energy efficiency improvement in public building operations.</t>
  </si>
  <si>
    <t xml:space="preserve">ORI-129</t>
  </si>
  <si>
    <t xml:space="preserve">Reinforcement Learning for Selective Key Applications in Power Systems: Recent Advances and Future Challenges</t>
  </si>
  <si>
    <t xml:space="preserve">X. Chen; G. Qu; Y. Tang; S. Low; N. Li</t>
  </si>
  <si>
    <t xml:space="preserve">IEEE Transactions on Smart Grid</t>
  </si>
  <si>
    <t xml:space="preserve">10.1109/tsg.2022.3154718</t>
  </si>
  <si>
    <t xml:space="preserve">With large-scale integration of renewable generation and distributed energy resources, modern power systems are confronted with new operational challenges, such as growing complexity, increasing uncertainty, and aggravating volatility. Meanwhile, more and more data are becoming available owing to the widespread deployment of smart meters, smart sensors, and upgraded communication networks. As a result, data-driven control techniques, especially reinforcement learning (RL), have attracted surging attention in recent years. This paper provides a comprehensive review of various RL techniques and how they can be applied to decision-making and control in power systems. In particular, we select three key applications, i.e., frequency regulation, voltage control, and energy management, as examples to illustrate RL-based models and solutions. We then present the critical issues in the application of RL, i.e., safety, robustness, scalability, and data. Several potential future directions are discussed as well.</t>
  </si>
  <si>
    <t xml:space="preserve">ORI-145</t>
  </si>
  <si>
    <t xml:space="preserve">Reinforcement Learning for Torque Vectoring in Electric Vehicles: A Review of Stability and Energy Optimization Methods</t>
  </si>
  <si>
    <t xml:space="preserve">R. Jafari; S. S. Refaat; A. Paykani; P. Asef; P. Sarhadi</t>
  </si>
  <si>
    <t xml:space="preserve">10.1109/ojvt.2025.3638680</t>
  </si>
  <si>
    <t xml:space="preserve">Torque vectoring can enhance dynamic stability and concurrently enable efficient energy management in electric vehicles (EVs) through optimized torque distribution. Nevertheless, conventional torque vectoring schemes often rely on fixed models and tuning, limiting their adaptability. Reinforcement learning (RL) and its model-free versions employing deep neural networks allow the development of control policies through direct interaction with the environment, making it suitable for complex and nonlinear dynamics. This paper presents a comprehensive survey of recent research on the application of RL for torque vectoring and energy optimization in EVs. An overview of conventional direct yaw control (DYC) approaches, their objectives, and common hierarchical strategies are initially studied to establish a foundation for discussing model-free RL-based torque vectoring. A description of RL in the context of stability-oriented control and energy optimization, key components, operational processes, and their classifications are studied. The primary emphasis is on RL-based torque vectoring and energy management in EVs to improve yaw stability, reduce energy consumption, and manage trade-offs under real-time constraints. Overall, RL-based controllers provide enhanced adaptability to modeling inaccuracies and facilitate more straightforward multi-objective design for simultaneous energy management and stability control, making them promising alternatives to conventional model-based methods.</t>
  </si>
  <si>
    <t xml:space="preserve">ORI-097</t>
  </si>
  <si>
    <t xml:space="preserve">Reinforcement learning for whole-building HVAC control and demand response</t>
  </si>
  <si>
    <t xml:space="preserve">Azuatalam, Donald; Lee, Wee-Lih; de Nijs, Frits; Liebman, Ariel</t>
  </si>
  <si>
    <t xml:space="preserve">10.1016/j.egyai.2020.100020</t>
  </si>
  <si>
    <t xml:space="preserve">This paper proposes a novel reinforcement learning (RL) architecture for the efficient scheduling and control of the heating, ventilation and air conditioning (HVAC) system in a commercial building while harnessing its demand response (DR) potentials. With advances in automated building management systems, this can be achieved seamlessly by a smart autonomous RL agent which takes the best action, for example, a change in HVAC temperature set point, necessary to change the electricity usage pattern of a building in response to demand response signals, and with minimal thermal comfort impact to customers. Previous research in this area has tackled only individual aspects of the problem using RL. Specifically, due to the challenges in implementing demand response with whole-building models, simpler analytical models which poorly capture reality have been used instead. And where whole-building models are applied, RL is used for HVAC control mainly to achieve energy efficiency goals while demand response is neglected. Thus, in this research, we implement a holistic framework by designing an efficient RL controller for a whole-building model which learns to optimise and control the HVAC system for improved energy efficiency and thermal comfort levels in addition to achieving demand response goals. Our simulation results show that by applying reinforcement learning for normal HVAC operation, a maximum weekly energy reduction of up to 22% can be achieved compared to a handcrafted baseline controller. Furthermore, by employing a DR-aware RL controller during demand response periods, average power reductions or increases of up to 50% can be achieved on a weekly basis compared to the default RL controller, while keeping occupant thermal comfort levels within acceptable bounds.</t>
  </si>
  <si>
    <t xml:space="preserve">ORI-116</t>
  </si>
  <si>
    <t xml:space="preserve">Reinforcement learning in building controls: A comparative study of algorithms considering model availability and policy representation</t>
  </si>
  <si>
    <t xml:space="preserve">Wu, Ziyan; Zhang, Wenhao; Tang, Rui; Wang, Huilong; Korolija, Ivan</t>
  </si>
  <si>
    <t xml:space="preserve">10.1016/j.jobe.2024.109497</t>
  </si>
  <si>
    <t xml:space="preserve">Reinforcement Learning (RL) has presented considerable potential as an advanced control technique in building controls to enable buildings operating more energy-efficient. As various types of RL algorithms have been studied on their performance of building controls, benchmarking these algorithms across the entire spectrum of features is essential to provide an overview and deepen the understanding of RL applications. Therefore, this study aims to compare and analyze the effectiveness of various RL algorithms, encompassing the entire RL categories featured by value-based, policy gradient, actor-critic and model-based RL considering model availability and policy representation. To provide a comprehensive analysis, in addition to the control performance quantified by the cumulative rewards based on the cost function of RL, data demand and robustness of hyperparameter tuning were investigated. The open-source Gym-Eplus framework was selected as the virtual environment to train and test different RL agents. The results showed that both model-free and model-based RL agents outperformed the baseline rule-based control in terms of energy consumption and thermal comfort, and RL agents were capable of evaluating both short-term and long-term rewards to achieve adaptive control optimization continuously along with the online control process. Model-based RL agent improved the data sampling efficiency but presented a relatively sacrificed control performance during the tested summer days.</t>
  </si>
  <si>
    <t xml:space="preserve">ORI-017</t>
  </si>
  <si>
    <t xml:space="preserve">Reinforcement Learning in Construction Engineering and Management: A Review</t>
  </si>
  <si>
    <t xml:space="preserve">Asghari, V; Wang, YY; Biglari, AJ; Hsu, SC; Tang, PB</t>
  </si>
  <si>
    <t xml:space="preserve">JOURNAL OF CONSTRUCTION ENGINEERING AND MANAGEMENT</t>
  </si>
  <si>
    <t xml:space="preserve">10.1061/(asce)co.1943-7862.0002386</t>
  </si>
  <si>
    <t xml:space="preserve">The construction engineering and management (CEM) domain frequently meets complex tasks due to the unavoidable complicated operation environments and the involvement of numerous workers. Being able to simulate these tasks with promised designed goals, reinforcement learning (RL) can help CEM engineers reach enhanced strategies in multi-/single-objective sequential decision-making under various sources of uncertainties. To provide a better understanding of the status quo of the RL application in CEM and its potential benefits with their strengths and limitations, this study systematically reviewed 85 CEM-related RL-based studies as a result of queries from three main scientific databases, namely Scopus, Science Direct, and Web of Science. The results of this review reveal that researchers have been increasingly applying RL methods in CEM domains, such as building energy management, infrastructure management, construction machinery, and even safety in the last few years. Our analysis showed that the reviewed papers are associated with different limitations such as generalizability, justification of selecting the approaches, and validation. This review paper alongside the presented overview of the RL methodology can assist researchers and practitioners in CEM with (1) gaining a high-level and intuitive understanding of RL algorithms, (2) identifying previous and possible future opportunities for applying RL in complex decision-making, and (3) fine tuning, proper validation, and optimizing to-be-developed RL frameworks in their future studies and applications.</t>
  </si>
  <si>
    <t xml:space="preserve">ORI-015</t>
  </si>
  <si>
    <t xml:space="preserve">Reinforcement learning in transportation research: Frontiers and future directions</t>
  </si>
  <si>
    <t xml:space="preserve">Lai, XF; Yang, ZY; Xie, JH; Liu, Y</t>
  </si>
  <si>
    <t xml:space="preserve">MULTIMODAL TRANSPORTATION</t>
  </si>
  <si>
    <t xml:space="preserve">10.1016/j.multra.2024.100164</t>
  </si>
  <si>
    <t xml:space="preserve">The development of reinforcement learning (RL) provides innovative solutions for various decision-making problems in transportation, often pertaining to integrating advanced vehicular technologies such as connected and autonomous vehicles and electric vehicles. This paper reviews transportation research with RL-based methods over the recent decades. We start with a bibliometric analysis through extensive literature retrieval of 1030 papers from 1996 to 2023. We identify different research areas of RL in transportation, summarizing the most visited research problems. We find that, at the vehicle level, motion and route planning and energy-efficient driving problems have attracted the most attention. Meanwhile, adaptive traffic signal control and management have been the most visited problems at the network level. We discuss several potential future directions, including the migration of RL models from simulations to real-world cases, designing tailored control architectures for complex transportation systems, exploring explainable RL in transportation research to ensure transparency and accountability in decision-making processes, and integrating people and vehicles into transportation systems in a sustainable and equitable manner.</t>
  </si>
  <si>
    <t xml:space="preserve">ORI-132</t>
  </si>
  <si>
    <t xml:space="preserve">Reinforcement Learning Solutions for Microgrid Control and Management: A Survey</t>
  </si>
  <si>
    <t xml:space="preserve">P. I. N. Barbalho; A. L. Moraes; V. A. Lacerda; P. H. A. Barra; R. A. S. Fernandes; D. V. Coury</t>
  </si>
  <si>
    <t xml:space="preserve">10.1109/access.2025.3546578</t>
  </si>
  <si>
    <t xml:space="preserve">A microgrid (MG) is part of a distribution system that comprises loads and distributed energy resources, capable of operating either connected to or islanded from the primary grid. Having an appropriate design, MG controllers improve energy efficiency, playing a vital role in the modern distribution system. Thus, MG management and control has become a broad area of research due to its complex operation. Reinforcement learning (RL) offers adaptive solutions for handling MG complex dynamics and nonlinearity. It is an alternative to traditional algorithms and control methods in tasks, such as load frequency control, resource allocation, and energy management. Due to the relevance of the topic, this survey examined the role of RL in MG control and management, offering a comprehensive update on previous reviews, categorising articles by RL type, control objectives, and MG operational modes. Additionally, hardware implementations and performance assessments across RL-based solutions were evaluated. The present survey identified key research trends and gaps, contributing to understanding the role of RL in MG management and control and guiding future solutions in the field.</t>
  </si>
  <si>
    <t xml:space="preserve">ORI-142</t>
  </si>
  <si>
    <t xml:space="preserve">Reinforcement Learning Techniques for Optimal Power Control in Grid-Connected Microgrids: A Comprehensive Review</t>
  </si>
  <si>
    <t xml:space="preserve">E. O. Arwa; K. A. Folly</t>
  </si>
  <si>
    <t xml:space="preserve">10.1109/access.2020.3038735</t>
  </si>
  <si>
    <t xml:space="preserve">Utility grids are undergoing several upgrades. Distributed generators that are supplied by intermittent renewable energy sources (RES) are being connected to the grids. As RES get cheaper, more customers are opting for peer-to-peer energy interchanges through the smart metering infrastructure. Consequently, power management in grid-tied RES-based microgrids has become a challenging task. This paper reviews the applications of reinforcement learning (RL) algorithms in managing power in grid-tide microgrids. Unlike other optimization methods such as numerical and soft computing techniques, RL does not require an accurate model of the optimization environment in order to arrive at an optimal solution. In this paper, various challenges associated with the control of power in grid-tied microgrids are described. The application of RL techniques in addressing those challenges is reviewed critically. This review identifies the need to improve and scale multi-agent RL methods to enable seamless distributed power dispatch among interconnected microgrids. Finally, the paper gives directions for future research, e.g., the hybridization of intrinsic and extrinsic reward schemes, the use of transfer learning to improve the learning outcomes of RL in complex power systems environments and the deployment of priority-based experience replay in post-disaster microgrid power flow control.</t>
  </si>
  <si>
    <t xml:space="preserve">ORI-013</t>
  </si>
  <si>
    <t xml:space="preserve">Reinforcement Learning Techniques in Optimizing Energy Systems</t>
  </si>
  <si>
    <t xml:space="preserve">Stavrev, S; Ginchev, D</t>
  </si>
  <si>
    <t xml:space="preserve">10.3390/electronics13081459</t>
  </si>
  <si>
    <t xml:space="preserve">Reinforcement learning (RL) techniques have emerged as powerful tools for optimizing energy systems, offering the potential to enhance efficiency, reliability, and sustainability. This review paper provides a comprehensive examination of the applications of RL in the field of energy system optimization, spanning various domains such as energy management, grid control, and renewable energy integration. Beginning with an overview of RL fundamentals, the paper explores recent advancements in RL algorithms and their adaptation to address the unique challenges of energy system optimization. Case studies and real-world applications demonstrate the efficacy of RL-based approaches in improving energy efficiency, reducing costs, and mitigating environmental impacts. Furthermore, the paper discusses future directions and challenges, including scalability, interpretability, and integration with domain knowledge. By synthesizing the latest research findings and identifying key areas for further investigation, this paper aims to inform and inspire future research endeavors in the intersection of reinforcement learning and energy system optimization.</t>
  </si>
  <si>
    <t xml:space="preserve">ORI-008</t>
  </si>
  <si>
    <t xml:space="preserve">Reinforcement Learning-Based Energy Management for Hybrid Power Systems: State-of-the-Art Survey, Review, and Perspectives</t>
  </si>
  <si>
    <t xml:space="preserve">Tang, XL; Chen, JX; Qin, YC; Liu, T; Yang, K; Khajepour, A; Li, S</t>
  </si>
  <si>
    <t xml:space="preserve">CHINESE JOURNAL OF MECHANICAL ENGINEERING</t>
  </si>
  <si>
    <t xml:space="preserve">10.1186/s10033-024-01026-4</t>
  </si>
  <si>
    <t xml:space="preserve">The new energy vehicle plays a crucial role in green transportation, and the energy management strategy of hybrid power systems is essential for ensuring energy-efficient driving. This paper presents a state-of-the-art survey and review of reinforcement learning-based energy management strategies for hybrid power systems. Additionally, it envisions the outlook for autonomous intelligent hybrid electric vehicles, with reinforcement learning as the foundational technology. First of all, to provide a macro view of historical development, the brief history of deep learning, reinforcement learning, and deep reinforcement learning is presented in the form of a timeline. Then, the comprehensive survey and review are conducted by collecting papers from mainstream academic databases. Enumerating most of the contributions based on three main directions-algorithm innovation, powertrain innovation, and environment innovation-provides an objective review of the research status. Finally, to advance the application of reinforcement learning in autonomous intelligent hybrid electric vehicles, future research plans positioned as "Alpha HEV" are envisioned, integrating Autopilot and energy-saving control.</t>
  </si>
  <si>
    <t xml:space="preserve">ORI-011</t>
  </si>
  <si>
    <t xml:space="preserve">Reinforcement Learning-Based Intelligent Control Strategies for Optimal Power Management in Advanced Power Distribution Systems: A Survey</t>
  </si>
  <si>
    <t xml:space="preserve">Al-Saadi, M; Al-Greer, M; Short, M</t>
  </si>
  <si>
    <t xml:space="preserve">10.3390/en16041608</t>
  </si>
  <si>
    <t xml:space="preserve">Intelligent energy management in renewable-based power distribution applications, such as microgrids, smart grids, smart buildings, and EV systems, is becoming increasingly important in the context of the transition toward the decentralization, digitalization, and decarbonization of energy networks. Arguably, many challenges can be overcome, and benefits leveraged, in this transition by the adoption of intelligent autonomous computer-based decision-making through the introduction of smart technologies, specifically artificial intelligence. Unlike other numerical or soft computing optimization methods, the control based on artificial intelligence allows the decentralized power units to collaborate in making the best decision of fulfilling the administrator's needs, rather than only a primitive decentralization based only on the division of tasks. Among the smart approaches, reinforcement learning stands as the most relevant and successful, particularly in power distribution management applications. The reason is it does not need an accurate model for attaining an optimized solution regarding the interaction with the environment. Accordingly, there is an ongoing need to accomplish a clear, up-to-date, vision of the development level, especially with the lack of recent comprehensive detailed reviews of this vitally important research field. Therefore, this paper fulfills the need and presents a comprehensive review of the state-of-the-art successful and distinguished intelligent control strategies-based RL in optimizing the management of power flow and distribution. Wherein extensive importance is given to the classification of the literature on emerging strategies, the proposals based on RL multiagent, and the multiagent primary secondary control of managing power flow in micro and smart grids, particularly the energy storage. As a result, 126 of the most relevant, recent, and non-incremental have been reviewed and put into relevant categories. Furthermore, salient features have been identified of the major positive and negative, of each selection.</t>
  </si>
  <si>
    <t xml:space="preserve">ORI-009</t>
  </si>
  <si>
    <t xml:space="preserve">The steep rise in reinforcement learning (RL) in various applications in energy as well as the penetration of home automation in recent years are the motivation for this article. It surveys the use of RL in various home energy management system (HEMS) applications. There is a focus on deep neural network (DNN) models in RL. The article provides an overview of reinforcement learning. This is followed with discussions on state-of-the-art methods for value, policy, and actor-critic methods in deep reinforcement learning (DRL). In order to make the published literature in reinforcement learning more accessible to the HEMS community, verbal descriptions are accompanied with explanatory figures as well as mathematical expressions using standard machine learning terminology. Next, a detailed survey of how reinforcement learning is used in different HEMS domains is described. The survey also considers what kind of reinforcement learning algorithms are used in each HEMS application. It suggests that research in this direction is still in its infancy. Lastly, the article proposes four performance metrics to evaluate RL methods.</t>
  </si>
  <si>
    <t xml:space="preserve">ORI-086</t>
  </si>
  <si>
    <t xml:space="preserve">RETRACTED: EnergyShare AI: Transforming P2P energy trading through advanced deep learning</t>
  </si>
  <si>
    <t xml:space="preserve">Alghanmi, Nouf Atiahallah; Alkhudhayr, Hanadi</t>
  </si>
  <si>
    <t xml:space="preserve">Heliyon</t>
  </si>
  <si>
    <t xml:space="preserve">10.1016/j.heliyon.2024.e36948</t>
  </si>
  <si>
    <t xml:space="preserve">This article has been retracted: please see Elsevier policy on article withdrawal (https://www.elsevier.com/about/policies-and-standards/article-withdrawal). This article has been retracted at the request of the Editor. An investigation conducted on behalf of the journal by Elsevier's Research Integrity &amp; Publishing Ethics team has identified the presence of a reference to one or more non-existent papers, as indicated below:T. Chen, R. Jin, D. Liu, H. Wang, Z. Wang, "Deep learning-based real-time building energy demand forecasting and its application in building cooling and heating management", Energy Build., 217 (2020), Article 109972, 10.1016/j.enbuild.2020.109972J. Wang, L. Li, J. Feng, "The role of electric vehicles in peer-to-peer energy trading: a comprehensive review", Renew. Sustain. Energy Rev., 140 (2021), Article 110715, 10.1016/j.rser.2021.110715M. Azar, H. Mohammadian-Alirezachaei, R. Kazemzadeh, "Blockchain-based peer-to-peer energy trading: a review", IEEE Access, 11 (2023), pp. 35694-35705, 10.1109/ACCESS.2023.3124567R. Denysiuk, F. Lilliu, D. Recupero, M. Vinyals, "Smart contracts and blockchain for energy trading: technologies and challenges", Appl. Energy, 310 (2022), Article 118594, 10.1016/j.apenergy.2022.118594Y. Wang, Q. Yang, D. Li, "Deep learning vs. Traditional models in energy trading: a case study", J. Renew. Sustain. Energy, 15 (6) (2023), Article 118610, 10.1063/5.0172713J. Smith, L. Wang, H. Zhao, "Optimizing peer-to-peer energy trading systems in urban areas using deep reinforcement learning", IEEE Trans. Smart Grid, 12 (3) (May 2021), pp. 1785-1795, 10.1109/TSG.2021.3061123A. Brown, K. Green, D. White, "Bidirectional energy flows in household energy storage systems with electric vehicles", IEEE Access, 9 (Jun. 2021), pp. 65412-65421, 10.1109/ACCESS.2021.3086212M. Johnson, E. Lee, R. Martin, "Comparison of peer-to-peer energy trading systems: energy storage devices and electric vehicles", IEEE Trans. Sustain. Energy, 12 (2) (Apr. 2021), pp. 834-843, 10.1109/TSTE.2021.3055678S. Gupta, R. Sharma, N. Kumar, "Scalability and flexibility of deep reinforcement learning in peer-to-peer energy trading: a case study", IEEE Internet Things J., 8 (10) (May 2021), pp. 8123-8133, 10.1109/JIOT.2021.3068445P. Singh, T. Roy, M. Agarwal, "The role of electric vehicles in enhancing grid reliability and financial benefits in rural peer-to-peer energy trading", IEEE Trans. Smart Grid, 13 (1) (Jan. 2022), pp. 512-522, 10.1109/TSG.2021.3087612C. Harris, J. Evans, S. Patel, "Integrating electric vehicles into peer-to-peer energy trading networks: feasibility and impact", IEEE Access, 10 (Feb. 2022), pp. 15784-15795, 10.1109/ACCESS.2022.3142374K. Yan, Y. Zhang, C. Zheng, J. Wang, L. Ma, C. Wang, "A comprehensive review of deep learning in energy systems", CFSSynergy Journal, 23 (4) (Dec. 2022), pp. 203-218, 10.1016/j.cfsyn.2022.101234X. Liu, Y. Dong, M. Li, Z. Huang, "Deep reinforcement learning for smart grid applications: a survey", CCL-DTI Journal, 21 (2) (Jun. 2021), pp. 157-170, 10.1016/j.ccldti.2021.100789L. Chen, S. Wu, J. Zhang, Q. Li, "Integration of deep learning and blockchain in energy trading: opportunities and challenges", CFSSynergy Journal, 24 (1) (Jan. 2023), pp. 33-47, 10.1016/j.cfsyn.2023.101345 The Elsevier's Research Integrity &amp; Publishing Ethics team reached out to the authors for an explanation, but they failed to provide a satisfactory response. The Editor has determined that the findings of the article cannot be relied upon, and has decided to retract the article. The authors disagree with retraction and dispute the grounds for it.</t>
  </si>
  <si>
    <t xml:space="preserve">ORI-147</t>
  </si>
  <si>
    <t xml:space="preserve">Review of Computational Intelligence Approaches for Microgrid Energy Management</t>
  </si>
  <si>
    <t xml:space="preserve">M. Bilal; A. A. Algethami; Imdadullah; S. Hameed</t>
  </si>
  <si>
    <t xml:space="preserve">10.1109/access.2024.3440885</t>
  </si>
  <si>
    <t xml:space="preserve">This research investigates implementing and optimizing microgrid energy management systems (EMS) utilizing artificial intelligence (AI). Inspired by the need for efficient resource utilization and the limitations of traditional control methods, it addresses essential aspects of microgrid design, such as cost-effectiveness, system capacity, power generation mix, and customer satisfaction. The primary goals are to optimize energy management, control techniques, and AI applications in microgrids. The study critically examines the classification of energy management systems, various EMS applications, and their associated challenges. Additionally, it discusses different optimization techniques relevant to EMS, highlighting their applications, benefits, and challenges. The research emphasizes the importance of hybrid systems, demand-side management, and energy storage in addressing the intermittency of renewable energy sources. AI techniques, such as unsupervised learning (USL), supervised learning (SL), and semi-supervised learning (SSL), are extensively analyzed in relation to their specific applications. The study explores AI-based hierarchical controls at primary, secondary, and tertiary levels. Furthermore, AI methods like deep learning for load forecasting and reinforcement learning for optimal control are emphasized for their substantial contributions to enhancing microgrid reliability and efficiency. The research concludes that integrating distributed energy resources (DER) and using advanced optimization algorithms can lead to significant financial benefits and improved sustainability in microgrid operations. Over 200 research papers were referenced in this study.</t>
  </si>
  <si>
    <t xml:space="preserve">ORI-016</t>
  </si>
  <si>
    <t xml:space="preserve">Review of Deep Reinforcement Learning and Its Application in Modern Renewable Power System Control</t>
  </si>
  <si>
    <t xml:space="preserve">Li, QY; Lin, T; Yu, QY; Du, H; Li, J; Fu, XY</t>
  </si>
  <si>
    <t xml:space="preserve">10.3390/en16104143</t>
  </si>
  <si>
    <t xml:space="preserve">With the ongoing transformation of electricity generation from large thermal power plants to smaller renewable energy sources (RESs), such as wind and solar, modern renewable power systems need to address the new challenge of the increasing uncertainty and complexity caused by the deployment of electricity generation from RESs and the integration of flexible loads and new technologies. At present, a high volume of available data is provided by smart grid technologies, energy management systems (EMSs), and wide-area measurement systems (WAMSs), bringing more opportunities for data-driven methods. Deep reinforcement learning (DRL), as one of the state-of-the-art data-driven methods, is applied to learn optimal or near-optimal control policy by formulating the power system as a Markov decision process (MDP). This paper reviews the recent DRL algorithms and the existing work of operational control or emergency control based on DRL algorithms for modern renewable power systems and control-related problems for small signal stability. The fundamentals of DRL and several commonly used DRL algorithms are briefly introduced. Current issues and expected future directions are discussed.</t>
  </si>
  <si>
    <t xml:space="preserve">ORI-073</t>
  </si>
  <si>
    <t xml:space="preserve">Review of optimization control methods for HVAC systems in Demand Response (DR): Transition from model-driven to model-free approaches and challenges</t>
  </si>
  <si>
    <t xml:space="preserve">Jin, Ruiying; Xu, Peng; Gu, Jiefan; Xiao, Tong; Li, Chunhui; Wang, Hongxin</t>
  </si>
  <si>
    <t xml:space="preserve">10.1016/j.buildenv.2025.113045</t>
  </si>
  <si>
    <t xml:space="preserve">The increasing frequency of extreme weather events, rising energy demand, and growing integration of renewable energy pose significant challenges to the reliable operation of the power grid, making demand response (DR) a crucial solution. Heating, ventilation, and air-conditioning (HVAC) systems account for a large portion of energy consumption in building energy management, and their participation in DR is increasingly common. The control optimization of HVAC systems has evolved from being experience-driven to model-driven. While model-based control methods offer energy-saving potential, they rely on high-quality models, which are complex and resource-intensive. These methods also face challenges in terms of high modeling costs and weak generalization. This paper first clarifies the research issue addressed by the literature summary, which is the control problem of HVAC systems in DR scenarios, and summarizes influential recent review articles. It then classifies and discusses optimization control methods involved in HVAC systems' participation in DR, identifies current challenges and future research directions, and suggests the integration of cutting-edge computational technologies such as reinforcement learning, transfer learning, and large language models (LLMs) to solve the issues. Finally, an integrated framework is proposed, offering a reference for building operations engineers in formulating optimized control solutions.</t>
  </si>
  <si>
    <t xml:space="preserve">ORI-007</t>
  </si>
  <si>
    <t xml:space="preserve">Review on the research and practice of deep learning and reinforcement learning in smart grids</t>
  </si>
  <si>
    <t xml:space="preserve">D. Zhang; X. Han; C. Deng</t>
  </si>
  <si>
    <t xml:space="preserve">10.17775/cseejpes.2018.00520</t>
  </si>
  <si>
    <t xml:space="preserve">Smart grids are the developmental trend of power systems and they have attracted much attention all over the world. Due to their complexities, and the uncertainty of the smart grid and high volume of information being collected, artificial intelligence techniques represent some of the enabling technologies for its future development and success. Owing to the decreasing cost of computing power, the profusion of data, and better algorithms, AI has entered into its new developmental stage and AI 2.0 is developing rapidly. Deep learning (DL), reinforcement learning (RL) and their combination–deep reinforcement learning (DRL) are representative methods and relatively mature methods in the family of AI 2.0. This article introduces the concept and status quo of the above three methods, summarizes their potential for application in smart grids, and provides an overview of the research work on their application in smart grids.</t>
  </si>
  <si>
    <t xml:space="preserve">ORI-064</t>
  </si>
  <si>
    <t xml:space="preserve">Eligible journal review centered on RL reward-function design for operational HVAC control</t>
  </si>
  <si>
    <t xml:space="preserve">ORI-124</t>
  </si>
  <si>
    <t xml:space="preserve">Smart Control for Smarter Buildings: A Review of Traditional and Intelligent HVAC Control Strategies Toward Energy Sustainability</t>
  </si>
  <si>
    <t xml:space="preserve">H. Darwish; K. V. Khapper; B. Gokaraju; R. Tesiero</t>
  </si>
  <si>
    <t xml:space="preserve">10.1109/access.2026.3667540</t>
  </si>
  <si>
    <t xml:space="preserve">Heating, Ventilation, and Air Conditioning (HVAC) systems are among the largest energy consumers in buildings, and their control strategies play a crucial role in achieving energy efficiency, indoor comfort, and sustainability. This review examines the main HVAC control strategies, ranging from traditional methods to Internet of Things (IoT) based and Artificial Intelligence (AI) driven approaches. In addition, occupancy-based control strategies and energy-efficient designs are critically examined for their potential to enhance system responsiveness and reduce operational costs. More than 100 recent research studies were systematically analyzed and compared across key parameters such as the objective of the study, the used control technique, strength, weakness, opportunity, threat, software/tool used, building type (residential, commercial, or industrial), control scale (single zone/multi-zone), and specific HVAC part controlled (e.g., AHU, VAV). To enable consistent comparison, a Multi-Objective Robustness Criterion (MORC) is used to assess how different control strategies balance energy consumption, thermal comfort, and Indoor Air Quality (IAQ) under changing conditions and how each control technique overcomes the limitations of the previous ones. In addition, the review also introduces a case analysis based on three U.S. cities, Charlotte, Greensboro, and Raleigh, to demonstrate the impact of outdoor climate variations and occupancy pattern on HVAC energy consumption. The results show that even a one-degree change in outdoor temperature can cause a considerable increase in annual energy consumption. Moreover, occupancy-based HVAC control can save more than  ${\$}$ 7,000 annually in the studied educational building. These findings highlight the strong impact of location-specific temperature differences on HVAC performance and emphasize the need for adaptive, climate-aware control strategies, while also pointing to future directions for smarter and more energy-efficient HVAC systems.</t>
  </si>
  <si>
    <t xml:space="preserve">ORI-002</t>
  </si>
  <si>
    <t xml:space="preserve">State-of-the-art review on energy management and control of networked microgrids</t>
  </si>
  <si>
    <t xml:space="preserve">Singh, Arvind R.; Raju, D. Koteswara; Raghav, L. Phani; Kumar, R. Seshu</t>
  </si>
  <si>
    <t xml:space="preserve">SUSTAINABLE ENERGY TECHNOLOGIES AND ASSESSMENTS</t>
  </si>
  <si>
    <t xml:space="preserve">10.1016/j.seta.2023.103248</t>
  </si>
  <si>
    <t xml:space="preserve">ORI-087</t>
  </si>
  <si>
    <t xml:space="preserve">Statistical and machine learning approaches for energy efficient buildings</t>
  </si>
  <si>
    <t xml:space="preserve">Paravantis, John A.; Malefaki, Sonia; Nikolakopoulos, Pantelis; Romeos, Alexandros; Giannadakis, Athanasios; Giannakopoulos, Evangelos; Mihalakakou, Giouli; Souliotis, Manolis</t>
  </si>
  <si>
    <t xml:space="preserve">10.1016/j.enbuild.2025.115309</t>
  </si>
  <si>
    <t xml:space="preserve">Buildings are responsible for nearly 40% of primary energy consumption. Over the recent decades, numerous methods have been proposed to model, predict, and optimize the heating and cooling energy consumption in buildings, prioritizing efficiency, accuracy, simplicity, and speed. From basic deterministic formulations to advanced machine learning techniques, various methods have been proposed to improve the thermal performance of existing structures and optimize the design of new ones. This manuscript reviews statistical and machine learning approaches in building energy performance simulation, presenting and discussing theoretical considerations and a review of published research studies, covering input, output, distinctive modeling features, and main results. Statistical learning techniques include linear prediction models, generalized linear models, linear mixed-effects models, Bayesian approaches, and time series analysis. Machine learning techniques include deep learning approaches, such as deep feed-forward, recurrent, and convolutional artificial neural networks. Support-vector machines and ensemble machine learning are also discussed, each with a review of relevant research studies, respectively. The application of machine learning approaches in building design and control include both model predictive and reinforcement learning-based control, and building retrofit. The goal is to provide a detailed overview of historical and contemporary developments in data-driven methodologies, encompassing various scientific approaches and algorithms shedding light on the complexities and trends in the dynamic field of energy-efficient building design and operation.</t>
  </si>
  <si>
    <t xml:space="preserve">ORI-135</t>
  </si>
  <si>
    <t xml:space="preserve">Survey on AI and Machine Learning Techniques for Microgrid Energy Management Systems</t>
  </si>
  <si>
    <t xml:space="preserve">A. Joshi; S. Capezza; A. Alhaji; M. -Y. Chow</t>
  </si>
  <si>
    <t xml:space="preserve">IEEE/CAA Journal of Automatica Sinica</t>
  </si>
  <si>
    <t xml:space="preserve">10.1109/jas.2023.123657</t>
  </si>
  <si>
    <t xml:space="preserve">In the era of an energy revolution, grid decentralization has emerged as a viable solution to meet the increasing global energy demand by incorporating renewables at the distributed level. Microgrids are considered a driving component for accelerating grid decentralization. To optimally utilize the available resources and address potential challenges, there is a need to have an intelligent and reliable energy management system (EMS) for the microgrid. The artificial intelligence field has the potential to address the problems in EMS and can provide resilient, efficient, reliable, and scalable solutions. This paper presents an overview of existing conventional and AI-based techniques for energy management systems in microgrids. We analyze EMS methods for centralized, decentralized, and distributed microgrids separately. Then, we summarize machine learning techniques such as ANNs, federated learning, LSTMs, RNNs, and reinforcement learning for EMS objectives such as economic dispatch, optimal power flow, and scheduling. With the incorporation of AI, microgrids can achieve greater performance efficiency and more reliability for managing a large number of energy resources. However, challenges such as data privacy, security, scalability, explainability, etc., need to be addressed. To conclude, the authors state the possible future research directions to explore AI-based EMS's potential in real-world applications.</t>
  </si>
  <si>
    <t xml:space="preserve">ORI-100</t>
  </si>
  <si>
    <t xml:space="preserve">Survey on task-centric robot battery management: A neural network framework</t>
  </si>
  <si>
    <t xml:space="preserve">Lin, Zihui; Huang, Zhongwei; Yang, Shuojin; Wu, Chenhao; Fang, Sen; Liu, Zhichun; Yang, Min; Xie, Zhihui; Li, Dagang; Zou, Yuntao</t>
  </si>
  <si>
    <t xml:space="preserve">Journal of Power Sources</t>
  </si>
  <si>
    <t xml:space="preserve">10.1016/j.jpowsour.2024.234674</t>
  </si>
  <si>
    <t xml:space="preserve">The surge in autonomous robotic applications across various sectors highlights the crucial need for effective robot battery management to ensure robots perform their tasks successfully with energy constraints. This survey aims to provide a comprehensive overview of the latest advancements in the application Artificial Intelligence in robot battery management, focusing on the integration of task requirements with battery state prediction and management through a task-centric approach. Utilizing the Systematic Literature Review method, this survey analyzes current research findings in the domain of robot battery management, underscoring the significant potential of Deep Learning and Deep Reinforcement Learning techniques in revolutionizing robot battery management. It highlights the effectiveness of various Deep Learning models, such as Feedforward Neural Networks, Extreme Learning Machines, Convolutional Neural Networks, Long Short-Term Memory, Gated Recurrent Units, and Transformers, in accurately predicting battery states, and Deep Reinforcement Learning, including Deep Q-Network, Deep Deterministic Policy Gradient, Twin Delayed DDPG, and Soft Actor–Critic, for optimizing battery usage in response to task requirements and adjusting task plans according to battery health. Building on this survey, we introduce a task-centric neural network framework for robot battery management. This framework is designed to seamlessly integrate robot attributes and task characteristics with real-time battery state and health data, facilitating precise battery management and task planning adjustments. Compared to previous literature focusing on generic battery management systems, this survey provides an analysis of task-centric robot battery management challenges and solutions with Neural Network, setting a new direction for future research in this burgeoning field.</t>
  </si>
  <si>
    <t xml:space="preserve">ORI-108</t>
  </si>
  <si>
    <t xml:space="preserve">Sustainability matchmaking: Linking renewable sources to electric water heating through machine learning</t>
  </si>
  <si>
    <t xml:space="preserve">Mabina, P.; Mukoma, P.; Booysen, M.J.</t>
  </si>
  <si>
    <t xml:space="preserve">10.1016/j.enbuild.2021.111085</t>
  </si>
  <si>
    <t xml:space="preserve">A high penetration of renewable energy sources such as wind power generation and photovoltaic generation causes some problems in power systems such as the duck curve and unreliability due to environmental variability. An effective solution to this problem is Demand Response (DR). Electric Water Heaters (EWHs) are considered ideal candidates for DR due to their energy storage capability. Due to the benefits, control strategies or techniques for EWHs have received considerable academic attention. The energy sector has recently tapped into the disruptive artificial intelligence world to learn, among other related priorities, how to enhance operations, maintain energy resilience and improve consumer service. Consequently, this paper reviews the use of machine learning (ML) for optimization and scheduling of EWHs. The main contributions of this review paper are, firstly, to identify state of the art of energy optimization and scheduling of EWHs. Secondly, to review the current ML models for energy optimization and scheduling of EWHs in smart grids and smart building environment. While classical control strategies may deliver substantial improvements, optimum efficiency may not be reached. ML has demonstrated clear advantages over classical control. Based on these conclusions, recommendations for further research topics are drawn.</t>
  </si>
  <si>
    <t xml:space="preserve">ORI-061</t>
  </si>
  <si>
    <t xml:space="preserve">Ten questions concerning reinforcement learning for building energy management</t>
  </si>
  <si>
    <t xml:space="preserve">Nagy, Zoltan; Henze, Gregor; Dey, Sourav; Arroyo, Javier; Helsen, Lieve; Zhang, Xiangyu; Chen, Bingqing; Amasyali, Kadir; Kurte, Kuldeep; Zamzam, Ahmed; Zandi, Helia; Drgoňa, Ján; Quintana, Matias; McCullogh, Steven; Park, June Young; Li, Han; Hong, Tianzhen; Brandi, Silvio; Pinto, Giuseppe; Capozzoli, Alfonso; Vrabie, Draguna; Bergés, Mario; Nweye, Kingsley; Marzullo, Thibault; Bernstein, Andrey</t>
  </si>
  <si>
    <t xml:space="preserve">10.1016/j.buildenv.2023.110435</t>
  </si>
  <si>
    <t xml:space="preserve">Expert synthesis without a defined reproducible review corpus for tertiary coding</t>
  </si>
  <si>
    <t xml:space="preserve">ORI-168</t>
  </si>
  <si>
    <t xml:space="preserve">The Evolution of Research in Microgrids Control</t>
  </si>
  <si>
    <t xml:space="preserve">A. Vasilakis; I. Zafeiratou; D. T. Lagos; N. D. Hatziargyriou</t>
  </si>
  <si>
    <t xml:space="preserve">IEEE Open Access Journal of Power and Energy</t>
  </si>
  <si>
    <t xml:space="preserve">10.1109/oajpe.2020.3030348</t>
  </si>
  <si>
    <t xml:space="preserve">Microgrids (MGs), as novel paradigms of active Distribution Networks, have been gaining increasing interest by the research community in the last 20 years. Currently, they are considered as key components in power system decentralization, providing viable solutions for rural electrification, enhancing resilience and supporting local energy communities. Their main characteristic is the coordinated control of the interconnected distributed energy resources (DER), which can be realized by various methods, ranging from decentralized communication-free approaches to centralized ones, where decisions are taken at a central point. This paper provides an overview of this development focusing on the technical control solutions proposed by reseachers for the various levels of MG organization hierarchy. A critical assessment of selected, popular technologies is provided and open research questions regarding the trend to more decentralized power systems are discussed.</t>
  </si>
  <si>
    <t xml:space="preserve">ORI-059</t>
  </si>
  <si>
    <t xml:space="preserve">ORI-089</t>
  </si>
  <si>
    <t xml:space="preserve">Trajectory of building and structural design automation from generative design towards the integration of deep generative models and optimization: A review</t>
  </si>
  <si>
    <t xml:space="preserve">Kookalani, Soheila; Parn, Erika; Brilakis, Ioannis; Dirar, Samir; Theofanous, Marios; Faramarzi, Asaad; Mahdavipour, Mohammad Ali; Feng, Qixian</t>
  </si>
  <si>
    <t xml:space="preserve">10.1016/j.jobe.2024.110972</t>
  </si>
  <si>
    <t xml:space="preserve">Design automation addresses the problem of manual and time-consuming design processes by streamlining and optimizing the creation of products, systems, or solutions using automated tools and workflows. The insufficient implementation of design automation technologies in the building and structural design industry has significant implications for productivity, innovation, and sustainability. This underscores an urgent need for comprehensive solutions to address this societal challenge. In this paper, a review of building and structural design automation methods is presented, covering the progression from generative design to the integration of deep generative models and optimization techniques. This review explores generative design and deep generative models, including generative adversarial network, variational autoencoder, and reinforcement learning frameworks, followed by topology optimization and their applications. This paper discusses key works that have introduced methods and techniques in generative design. Moreover, it addresses key challenges observed in generative systems across design fields. Furthermore, potential opportunities for future research are also identified, highlighting crucial areas that require strategic solutions. This study aims to establish a comprehensive reference framework to facilitate method selection and enhance existing methodologies through a systematic hybridization approach, thereby advancing the capabilities of the field.</t>
  </si>
  <si>
    <t xml:space="preserve">ORI-003</t>
  </si>
  <si>
    <t xml:space="preserve">Transfer learning in demand response: A review of algorithms for data-efficient modelling and control</t>
  </si>
  <si>
    <t xml:space="preserve">Peirelinck, Thijs; Kazmi, Hussain; Mbuwir, Brida, V; Hermans, Chris; Spiessens, Fred; Suykens, Johan; Deconinck, Geert</t>
  </si>
  <si>
    <t xml:space="preserve">ENERGY AND AI</t>
  </si>
  <si>
    <t xml:space="preserve">10.1016/j.egyai.2021.100126</t>
  </si>
  <si>
    <t xml:space="preserve">ORI-004</t>
  </si>
  <si>
    <t xml:space="preserve">Trending machine learning models in cyber-physical building environment: A survey</t>
  </si>
  <si>
    <t xml:space="preserve">Hasan, Z; Roy, N</t>
  </si>
  <si>
    <t xml:space="preserve">WILEY INTERDISCIPLINARY REVIEWS-DATA MINING AND KNOWLEDGE DISCOVERY</t>
  </si>
  <si>
    <t xml:space="preserve">10.1002/widm.1422</t>
  </si>
  <si>
    <t xml:space="preserve">Electricity usage of buildings (including offices, malls, and residential apartments) represents a significant portion of a nation's energy expenditure and carbon footprint. In the United States, the buildings' appliances consume 72% of the total produced electricity approximately. In this regard, cyber-physical system (CPS) researchers have put forth associated research questions to reduce cyber-physical building environment energy consumption by minimizing the energy dissipation while securing occupants' comfort. Some of the questions in CPS building include finding the optimal HVAC control, monitoring appliances' energy usage, detecting insulation problems, estimating the occupants' number and activities, managing thermal comfort, intelligently interacting with the smart grid. Various machine learning (ML) applications have been studied in recent CPS researches to improve building energy efficiency by addressing these questions. In this paper, we comprehensively review and report on the contemporary applications of ML algorithms such as deep learning, transfer learning, active learning, reinforcement learning, and other emerging techniques that propose and envision to address the above challenges in the CPS building environment. Finally, we conclude this article by discussing diverse existing open questions and prospective future directions in the CPS building environment research. This article is categorized under: Technologies &gt; Machine Learning Technologies &gt; Reinforcement Learning</t>
  </si>
  <si>
    <t xml:space="preserve">ORI-005</t>
  </si>
  <si>
    <t xml:space="preserve">Virtual Inertia Control Methods in Islanded Microgrids</t>
  </si>
  <si>
    <t xml:space="preserve">Skiparev, V; Machlev, R; Chowdhury, NR; Levron, Y; Petlenkov, E; Belikov, J</t>
  </si>
  <si>
    <t xml:space="preserve">10.3390/en14061562</t>
  </si>
  <si>
    <t xml:space="preserve">Although the deployment and integration of isolated microgrids is gaining widespread support, regulation of microgrid frequency under high penetration levels of renewable sources is still being researched. Among the numerous studies on frequency stability, one key approach is based on integrating an additional loop with virtual inertia control, designed to mimic the behavior of traditional synchronous machines. In this survey, recent works related to virtual inertia control methods in islanded microgrids are reviewed. Based on a contextual analysis of recent papers from the last decade, we attempt to better understand why certain control methods are suitable for different scenarios, the currently open theoretical and numerical challenges, and which control strategies will predominate in the following years. Some of the reviewed methods are the coefficient diagram method, H-infinity-based methods, reinforcement-learning-based methods, practical-swarm-based methods, fuzzy-logic-based methods, and model-predictive controllers.</t>
  </si>
  <si>
    <t xml:space="preserve">ORI-155</t>
  </si>
  <si>
    <t xml:space="preserve">Visualization Analysis of the Tendency of Key Technology in Fuel Cell System for Vehicle Application: A Review</t>
  </si>
  <si>
    <t xml:space="preserve">H. Qing; M. Jia; C. Zhang; Y. Liu; T. Liu; J. Zhu; Q. Chen; J. Zhang</t>
  </si>
  <si>
    <t xml:space="preserve">CHAIN</t>
  </si>
  <si>
    <t xml:space="preserve">10.23919/chain.2025.000002</t>
  </si>
  <si>
    <t xml:space="preserve">The key technologies of fuel cell systems have a great impact on their performance and lifetime. However, most of the current analyses in reviews only focus on a single system or one aspect of the technology. It is highly necessary to systematically analyze the new development and research trends of vehicular fuel cell systems. This paper proposes a quantitative and visual analysis based on bibliometrics to more intuitively reveal the research direction in this field. Key information on hydrogen/air subsystems, energy management strategies, and thermal management subsystems are analyzed by combining the literature analysis and technical discussion. In detail, the possible reasons behind the variations in the number of articles published within different periods of the subsystem are revealed. Then, through qualitative analysis of representative papers with high citations in different periods, the main research methods adopted by scholars in different periods are derived. Finally, the technology research trends of control methods that need to be addressed in the future are summarized for different subsystems. This paper provides a reference for researchers in the field to understand more clearly the current trends in the field and provide new ideas to break through the challenges of developing high-performance fuel cell systems.</t>
  </si>
  <si>
    <t xml:space="preserve">ORI-102</t>
  </si>
  <si>
    <t xml:space="preserve">When bioprocess engineering meets machine learning: A survey from the perspective of automated bioprocess development</t>
  </si>
  <si>
    <t xml:space="preserve">Duong-Trung, Nghia; Born, Stefan; Kim, Jong Woo; Schermeyer, Marie-Therese; Paulick, Katharina; Borisyak, Maxim; Cruz-Bournazou, Mariano Nicolas; Werner, Thorben; Scholz, Randolf; Schmidt-Thieme, Lars; Neubauer, Peter; Martinez, Ernesto</t>
  </si>
  <si>
    <t xml:space="preserve">Biochemical Engineering Journal</t>
  </si>
  <si>
    <t xml:space="preserve">10.1016/j.bej.2022.108764</t>
  </si>
  <si>
    <t xml:space="preserve">Machine learning (ML) is becoming increasingly crucial in many fields of engineering but has not yet played out its full potential in bioprocess engineering. While experimentation has been accelerated by increasing levels of lab automation, experimental planning and data modeling are still largerly depend on human intervention. ML can be seen as a set of tools that contribute to the automation of the whole experimental cycle, including model building and practical planning, thus allowing human experts to focus on the more demanding and overarching cognitive tasks. First, probabilistic programming is used for the autonomous building of predictive models. Second, machine learning automatically assesses alternative decisions by planning experiments to test hypotheses and conducting investigations to gather informative data that focus on model selection based on the uncertainty of model predictions. This review provides a comprehensive overview of ML-based automation in bioprocess development. On the one hand, the biotech and bioengineering community should be aware of the potential and, most importantly, the limitation of existing ML solutions for their application in biotechnology and biopharma. On the other hand, it is essential to identify the missing links to enable the easy implementation of ML and Artificial Intelligence (AI) tools in valuable solutions for the bio-community. There is no one-fits-all procedure; however, this review should help identify the potential for automating model building by combining first-principles biotechnology knowledge and ML methods to address the reproducibility crisis in bioprocess development.</t>
  </si>
  <si>
    <t xml:space="preserve">Expanded Sensitivity Search — 87 Unique Records</t>
  </si>
  <si>
    <t xml:space="preserve">Sensitivity ID</t>
  </si>
  <si>
    <t xml:space="preserve">Source count</t>
  </si>
  <si>
    <t xml:space="preserve">Publication</t>
  </si>
  <si>
    <t xml:space="preserve">Original 172 match</t>
  </si>
  <si>
    <t xml:space="preserve">Current corpus match</t>
  </si>
  <si>
    <t xml:space="preserve">Screening decision</t>
  </si>
  <si>
    <t xml:space="preserve">Primary exclusion reason</t>
  </si>
  <si>
    <t xml:space="preserve">SENS-004</t>
  </si>
  <si>
    <t xml:space="preserve">WoS</t>
  </si>
  <si>
    <t xml:space="preserve">A Comprehensive Literature Review of Optimization Algorithms for Intelligent Load Scheduling in Home Energy Management Systems</t>
  </si>
  <si>
    <t xml:space="preserve">Durlik, F; Grela, J; Laton, D</t>
  </si>
  <si>
    <t xml:space="preserve">10.3390/en19112517</t>
  </si>
  <si>
    <t xml:space="preserve">Excluded</t>
  </si>
  <si>
    <t xml:space="preserve">Title/abstract screening</t>
  </si>
  <si>
    <t xml:space="preserve">wos_expanded.ris</t>
  </si>
  <si>
    <t xml:space="preserve">The increasing complexity of residential energy systems, driven by rising electricity demand, renewable energy integration, and dynamic pricing mechanisms, has intensified the need for intelligent load scheduling within Home Energy Management Systems (HEMSs). This paper presents a comprehensive literature review of optimization algorithms applied to residential load scheduling, based on an analysis of 78 peer-reviewed studies published between 2020 and 2025. The analysis reveals a clear shift from conventional deterministic optimization toward adaptive and data-driven approaches capable of operating in uncertain and dynamic environments. Metaheuristic methods are widely used for solving complex scheduling problems, while Machine Learning and Deep Learning (DL) techniques primarily support forecasting tasks related to energy demand and renewable generation. Reinforcement Learning (RL) and Deep Reinforcement Learning (DRL) approaches enable autonomous real-time decision-making, although challenges related to scalability, computational cost, and practical deployment remain unresolved. The review identifies hybrid architectures that combine forecasting, optimization, and control mechanisms as the most promising direction for future HEMS development. Finally, the paper highlights key research gaps, including limited real-world validation, insufficient consideration of physical infrastructure constraints, and the need for scalable distributed control frameworks for future smart grids and energy communities.</t>
  </si>
  <si>
    <t xml:space="preserve">SENS-026</t>
  </si>
  <si>
    <t xml:space="preserve">WoS; SD A</t>
  </si>
  <si>
    <t xml:space="preserve">A comprehensive review and framework on the applications of digital twins for energy transition at the district level</t>
  </si>
  <si>
    <t xml:space="preserve">Jalilzadeh, A; Rafiee, A; van Oosterom, P; Konstantinou, T</t>
  </si>
  <si>
    <t xml:space="preserve">10.1016/j.rser.2026.116872</t>
  </si>
  <si>
    <t xml:space="preserve">wos_expanded.ris; ScienceDirect_citations_1788180573805_searchA.ris</t>
  </si>
  <si>
    <t xml:space="preserve">Districts face dual pressures: reducing carbon emissions while managing surging electricity demand from electrification and urban growth. Traditional grid expansion cannot match the speed and complexity required for modern energy transitions. District energy transitions require connecting different scales, from individual buildings to grid networks, and different timeframes, from daily operations to long-term planning. Despite growing interest in Digital Twin (DT) for energy management, their application to integrated district-level energy transitions remains poorly understood. This review investigates how DTs can enable district energy transitions by examining their applications in built environment and energy infrastructure at district level, analyzing implementations across Positive Energy Districts (PEDs), microgrids (MGs), and related district energy paradigms. DT components (physical models, core capabilities, data infrastructure, and functional evolution) are investigated to assess their integrative potential. The analysis reveals three disconnects: building and grid systems are modeled separately despite inherent interdependencies; operational insights rarely inform infrastructure planning; and intervention strategies overlook sequential dependencies. To address these gaps, we propose an integrated framework advancing DTs toward district energy planning. The framework bridges semantic, temporal, and sequential planning through: knowledge graph architectures enabling cross-domain data integration, coupled simulation pipelines capturing building-grid interactions, and reinforcement learning optimizing intervention sequences. Unlike optimization that fixes strategies upfront, sequential planning accommodates technology emergence and regulatory shifts inherent to multi-decade transitions. This integrated approach transforms DTs from domain-specific monitoring tools into strategic planning platforms where coordinated building improvements and distributed energy resources defer costly grid expansions while accelerating district decarbonization.</t>
  </si>
  <si>
    <t xml:space="preserve">SENS-050</t>
  </si>
  <si>
    <t xml:space="preserve">A comprehensive review of AI-driven approaches for smart grid stability and reliability</t>
  </si>
  <si>
    <t xml:space="preserve">Ahmadi, M; Aly, H; Gu, JS</t>
  </si>
  <si>
    <t xml:space="preserve">10.1016/j.rser.2025.116424</t>
  </si>
  <si>
    <t xml:space="preserve">The stability and reliability of smart grids are essential for ensuring efficient and secure electricity delivery, particularly amid the increasing integration of renewable energy sources. This review presents a comprehensive analysis of artificial intelligence (AI)-based methods for real-time grid management, and fault detection. Unlike previous works that focus on isolated grid functions, this study provides a unified framework encompassing energy monitoring and control, optimization, and resilience. Machine learning, deep learning, and reinforcement learning techniques are systematically evaluated across diverse grid tasks, highlighting their strengths, limitations, and implementation challenges. Special attention is given to hybrid models that combine AI with optimization strategies to address issues such as scalability, computational complexity, and adaptability. The paper identifies critical research gaps and offers actionable recommendations to advance AI-driven smart grid operations, promoting more resilient, adaptive, and intelligent power systems.</t>
  </si>
  <si>
    <t xml:space="preserve">SENS-067</t>
  </si>
  <si>
    <t xml:space="preserve">SD B</t>
  </si>
  <si>
    <t xml:space="preserve">A comprehensive review of deep reinforcement learning applications from centralized power generation to modern energy internet frameworks</t>
  </si>
  <si>
    <t xml:space="preserve">Mahmud, Sakib; Sayed, Aya Nabil; Himeur, Yassine; Nhlabatsi, Armstrong; Bensaali, Faycal</t>
  </si>
  <si>
    <t xml:space="preserve">10.1016/j.rser.2025.116481</t>
  </si>
  <si>
    <t xml:space="preserve">ScienceDirect_citations_1788180526175_search_B.ris</t>
  </si>
  <si>
    <t xml:space="preserve">The energy internet (EI) is evolving toward decentralized, data-rich, and time-critical operation, where legacy optimization often fails to meet complexity, scalability, and real-time constraints. Deep reinforcement learning (DRL) offers a data-driven alternative that couples perception with sequential decision-making. This review synthesizes evidence from more than 500 peer-reviewed studies published between 2020 and 2026, mapping DRL applications across distributed generation, transmission, distribution, energy storage systems, energy markets, local energy management, grid security, and data privacy. We present a structured taxonomy covering value-based, policy-based, actor-critic, model-based, and advanced multi-agent and multi-objective approaches, and link algorithms to tasks such as dispatch, microgrid coordination, real-time pricing, load balancing, and demand–response. Reported benefits include energy savings, emissions reduction, and improved operational efficiency, although gains are often contingent on data quality, reward design, and benchmark selection. Persistent challenges include dataset scarcity and bias, limited generalization across assets and seasons, computational cost, safety and constraint handling, and the gap between simulation and field deployment. We identify promising directions: hybrid model-free and model-based DRL, offline-to-online learning, transfer and meta-learning for rapid adaptation, integration with federated learning and blockchain for privacy and trust, and progress in interpretability, uncertainty quantification, and formal safety guarantees. The review consolidates a fragmented literature, surfaces unresolved issues, and outlines practical research pathways for building reliable, sustainable, and resilient EI solutions with DRL.</t>
  </si>
  <si>
    <t xml:space="preserve">SENS-077</t>
  </si>
  <si>
    <t xml:space="preserve">IEEE</t>
  </si>
  <si>
    <t xml:space="preserve">A Comprehensive Review of Machine Learning Techniques for Enhancing Energy Efficiency in Renewable Integrated Smart Grids</t>
  </si>
  <si>
    <t xml:space="preserve">R. Goswami; R. Roy; K. K. Mandal</t>
  </si>
  <si>
    <t xml:space="preserve">CONF</t>
  </si>
  <si>
    <t xml:space="preserve">2025 International Conference on Power Electronics and Energy (ICPEE)</t>
  </si>
  <si>
    <t xml:space="preserve">10.1109/icpee65973.2025.11411031</t>
  </si>
  <si>
    <t xml:space="preserve">Conference paper; core corpus restricted to journal reviews</t>
  </si>
  <si>
    <t xml:space="preserve">IEEE Xplore Citation RIS Download 2026.8.31.15.34.58_expanded_sens.ris</t>
  </si>
  <si>
    <t xml:space="preserve">Modern smart grids integrate renewable energy sources, energy storage, and intelligent control systems to enhance efficiency, reliability, and sustainability. Machine learning (ML) serves as a critical enabler of these improvements by facilitating more effective energy flow coordination and increasing demand-side flexibility. This review explores advanced ML methodologies aimed at boosting energy efficiency and optimizing demand response in power systems with substantial renewable integration. Core applications include forecasting of load and renewable generation, demand-side management, storage system optimization, and anomaly detection-utilizing models such as neural networks, support vector machines, ensemble learning, and reinforcement learning. The paper also examines key challenges such as limited data availability, high computational demands, cybersecurity risks, and regulatory constraints. Realworld implementations and pilot projects illustrate the practical advantages and expanding use of ML in utility operations. The review concludes that, although ML holds great promise, realizing its full potential requires overcoming significant technical and institutional challenges through interdisciplinary collaboration and supportive policy frameworks.</t>
  </si>
  <si>
    <t xml:space="preserve">SENS-041</t>
  </si>
  <si>
    <t xml:space="preserve">A Comprehensive Review of Option Value in Energy Economics</t>
  </si>
  <si>
    <t xml:space="preserve">Giannelos, S; Pudjianto, D; Bellizio, F; Qiu, DW; Strbac, G</t>
  </si>
  <si>
    <t xml:space="preserve">IET RENEWABLE POWER GENERATION</t>
  </si>
  <si>
    <t xml:space="preserve">10.1049/rpg2.70122</t>
  </si>
  <si>
    <t xml:space="preserve">This review examines the economic concept of option value for the economic integration of renewables in power systems, considering energy markets' distinctive characteristics. Energy markets exhibit limited storability, price volatility, seasonality patterns, and network constraints that necessitate specialised valuation approaches beyond traditional financial models. We provide a comprehensive analysis of methodologies ranging from conventional financial techniques-Black-Scholes models, binomial trees, Monte Carlo simulation, and partial differential equations-to advanced computational approaches including stochastic optimisation, machine learning, and reinforcement learning. The paper explores how real options theory provides a framework for quantifying the value of flexibility in power systems. Emphasis is placed on smart technologies, whose option value stems from their ability to defer or displace conventional investments under uncertainty. We discuss how stochastic optimisation effectively captures the sequential decision-making characteristic of real options in energy systems. The review highlights emerging applications of machine learning and reinforcement learning for valuing energy derivatives and flexibility options, addressing computational challenges of high-dimensional problems. Finally, we identify promising research directions, including integrated physical-financial modelling frameworks, advanced computational methods, and agent-based approaches for capturing strategic behaviour in evolving energy markets characterised by increasing decarbonisation, digitalisation, and decentralisation.</t>
  </si>
  <si>
    <t xml:space="preserve">SENS-058</t>
  </si>
  <si>
    <t xml:space="preserve">WoS; SD B</t>
  </si>
  <si>
    <t xml:space="preserve">Gunay, B; Markus, A; Parsaei, A; Darwazeh, D; Bursill, J; Pellerin, L</t>
  </si>
  <si>
    <t xml:space="preserve">Possible/previously screened</t>
  </si>
  <si>
    <t xml:space="preserve">Previously screened</t>
  </si>
  <si>
    <t xml:space="preserve">Matched to original 172-record search set</t>
  </si>
  <si>
    <t xml:space="preserve">Not rescreened</t>
  </si>
  <si>
    <t xml:space="preserve">wos_expanded.ris; ScienceDirect_citations_1788180526175_search_B.ris</t>
  </si>
  <si>
    <t xml:space="preserve">Field implementation studies spanning six data-driven building operation and maintenance (DBOM) application domains (model-based predictive control (MPC), occupant-centric control (OCC), automated demand response (ADR), reinforcement learning control (RLC), fault detection and diagnostics (FDD), and virtual metering (VM)) were reviewed. The review aimed to make inter- and intra-application domain comparisons in terms of implementation processes and outcomes. The studies were classified by different levels of integration effort and sensing infrastructure complexity according to the quantity and kind of their inputs and outputs. An analysis is conducted on how energy-related success metrics (e.g., energy use, cost, demand) correlate with the integration effort and the complexity of the infrastructure. In general, MPC and ADR studies were found to require a higher level of integration effort than OCC studies; yet, OCC studies tend to require upgrades in the sensing infrastructure, unlike MPC and ADR studies. 95% of those reporting post-implementation energy metrics achieved more than 10% improvement in their energy-related objectives. The analysis results also highlight that a large fraction of the FDD and VM studies did not follow a measurement and verification procedure to quantify energy-related performance improvements upon field implementation. 90% of the papers did not include feedback from building operators or occupants after the implementation.</t>
  </si>
  <si>
    <t xml:space="preserve">SENS-009</t>
  </si>
  <si>
    <t xml:space="preserve">WoS; IEEE</t>
  </si>
  <si>
    <t xml:space="preserve">wos_expanded.ris; IEEE Xplore Citation RIS Download 2026.8.31.15.34.58_expanded_sens.ris</t>
  </si>
  <si>
    <t xml:space="preserve">Global buildings account for about 30% of the total energy consumption and carbon emission, raising severe energy and environmental concerns. Therefore, it is significant and urgent to develop novel smart building energy management (SBEM) technologies for the advance of energy efficient and green buildings. However, it is a nontrivial task due to the following challenges. First, it is generally difficult to develop an explicit building thermal dynamics model that is both accurate and efficient enough for building control. Second, there are many uncertain system parameters (e.g., renewable generation output, outdoor temperature, and the number of occupants). Third, there are many spatially and temporally coupled operational constraints. Fourth, building energy optimization problems can not be solved in real time by traditional methods when they have extremely large solution spaces. Fifthly, traditional building energy management methods have respective applicable premises, which means that they have low versatility when confronted with varying building environments. With the rapid development of Internet of Things technology and computation capability, artificial intelligence technology find its significant competence in control and optimization. As a general artificial intelligence technology, deep reinforcement learning (DRL) is promising to address the above challenges. Notably, the recent years have seen the surge of DRL for SBEM. However, there lacks a systematic overview of different DRL methods for SBEM. To fill the gap, this article provides a comprehensive review of DRL for SBEM from the perspective of system scale. In particular, we identify the existing unresolved issues and point out possible future research directions.</t>
  </si>
  <si>
    <t xml:space="preserve">SENS-080</t>
  </si>
  <si>
    <t xml:space="preserve">A Review of Grid-Tied Renewable Energy Integration for Large-Scale Data Centers in Saudi Arabia: Virtual Storage, Advanced Control, and Demand Response</t>
  </si>
  <si>
    <t xml:space="preserve">A. A. Nasser; M. Ehsani</t>
  </si>
  <si>
    <t xml:space="preserve">2026 IEEE Texas Power and Energy Conference (TPEC)</t>
  </si>
  <si>
    <t xml:space="preserve">10.1109/tpec67884.2026.11513045</t>
  </si>
  <si>
    <t xml:space="preserve">The rapid growth of AI-driven data center energy demand offers opportunities for sustainable energy integration. This paper reviews renewable energy strategies for large-scale data centers, focusing on grid-tied photovoltaic systems, advanced control, and demand response. We analyze techno-economic trade-offs of off-grid, grid-tied, and hybrid architectures and evaluate control methods including Model Predictive Control (MPC) and Reinforcement Learning (RL). We examine Saudi Arabia's renewable energy landscape and the NEOM project targeting 100% renewable infrastructure. Our analysis shows gridtied PV with advanced control can exceed 60% renewable energy fraction while maintaining Tier IV reliability without costly battery storage. We identify research gaps and provide recommendations for policymakers, operators, and researchers.infrastructure.</t>
  </si>
  <si>
    <t xml:space="preserve">SENS-079</t>
  </si>
  <si>
    <t xml:space="preserve">A Review of Hydrogen-Enabled Resilience Enhancement for Multienergy Systems</t>
  </si>
  <si>
    <t xml:space="preserve">L. Yu; H. Fang; G. Strbac; D. Qiu; D. Yue; X. Guan; G. P. Hancke</t>
  </si>
  <si>
    <t xml:space="preserve">10.1109/jproc.2026.3711369</t>
  </si>
  <si>
    <t xml:space="preserve">Ensuring resilience in multienergy systems (MESs) has become increasingly urgent and challenging due to the growing frequency and severity of extreme events, such as natural disasters, extreme weather, and cyber–physical attacks. Among the various approaches to enhancing MES resilience, hydrogen integration offers significant potential in cross-temporal, cross-spatial, and cross-sector flexibility, as well as black-start capability. Although considerable efforts have been devoted to this area, a systematic review of resilience enhancement in hydrogen-enabled MESs (HMESs) is still lacking. To address this gap, this article presents a comprehensive review of HMES resilience enhancement. First, advantages, vulnerabilities, and challenges related to HMES resilience enhancement are summarized. Next, a resilience enhancement framework for HMESs is proposed, based on which existing resilience metrics and event-oriented contingency models are reviewed and discussed. Planning measures are then classified according to the types of hydrogen-related facilities, together with uncertainty handling methods, scenario generation methods, and planning problem formulation frameworks. In addition, operational enhancement measures are categorized into three response stages: prevention, emergency response, and restoration. Finally, research gaps are identified, and future directions are discussed, including comprehensive resilience metric design, advanced extreme-event scenario generation, spatiotemporal cyber–physical contingency modeling under compound extreme events, coordinated planning and operation across multiple networks and timescales, low-carbon resilient planning and operation, and large language model (LLM)-assisted whole-process resilience enhancement.</t>
  </si>
  <si>
    <t xml:space="preserve">SENS-044</t>
  </si>
  <si>
    <t xml:space="preserve">A Review of Mathematical Models for Trading Decision-Making in Electricity Markets</t>
  </si>
  <si>
    <t xml:space="preserve">Chen, XT; Fan, H; Wang, SK; Ruan, Y; He, YS</t>
  </si>
  <si>
    <t xml:space="preserve">10.3390/app16168194</t>
  </si>
  <si>
    <t xml:space="preserve">As electricity market reforms progress worldwide, power producers, storage operators and retailers face complicated trading challenges driven by massive renewable penetration, multi-time-scale market coupling and frequent extreme weather. Traditional deterministic optimization cannot handle complex uncertainty. Following PRISMA 2020 protocol, this paper systematically screens 129 high-quality Chinese and English studies to summarize mainstream mathematical models for trading decision-making, including stochastic, robust, and distributionally robust optimization, decision-dependent uncertainty (DDU), risk-based models, evolutionary algorithms, and reinforcement learning (RL). Different from existing reviews focused on foreign markets or single algorithms, this paper targets Shandong provincial spot market with locational marginal pricing, dual-settlement deviation rules and over 40% wind-solar installed capacity, quantitatively compares the practicability of seven modeling frameworks for local bidding rules, and elaborates the emerging DDU optimization paradigm. Numerical cases show DDU-DRO improves aggregator profit by 6.8% versus exogenous uncertainty models. We analyze the practical defects of each model under Shandong's unique trading constraints, summarize unresolved bottlenecks and future research directions, and provide localized theoretical references for domestic provincial spot market intelligent bidding.</t>
  </si>
  <si>
    <t xml:space="preserve">SENS-068</t>
  </si>
  <si>
    <t xml:space="preserve">A Review of Recent Advances on Reinforcement Learning for Smart Home Energy Management</t>
  </si>
  <si>
    <t xml:space="preserve">H. Zhang; D. Wu; B. Boulet</t>
  </si>
  <si>
    <t xml:space="preserve">2020 IEEE Electric Power and Energy Conference (EPEC)</t>
  </si>
  <si>
    <t xml:space="preserve">10.1109/epec48502.2020.9320042</t>
  </si>
  <si>
    <t xml:space="preserve">Reported separately in sensitivity table</t>
  </si>
  <si>
    <t xml:space="preserve">Smart home energy management is one of the core problems in modern power grids. With the increasing adoption of different types of electric appliances and on-site intermittent renewable energy generation, it has been very challenging to use conventional control techniques for such energy management problems. Reinforcement Learning (RL) has attracted growing research interest recently; it also demonstrates its great potential to enhance smart home performance while addressing some limitations of other advanced control techniques, such as model predictive control. In this paper, we present a review of the recent advances on RL for smart home energy management. The problem of smart home energy management, the background for RL algorithms, and the survey of recent advances on RL for the smart home are presented. However, even though RL-based smart home controls have gained increasing research interest, it is in the beginning research stage. Several questions in this field are still not well-studied and worth further investigation, including data-efficient reinforcement learning, safety concerns, and how to include human behaviors in the loop of making control decisions. In this short survey, we also discuss the challenges and potential opportunities using RL in smart home control.</t>
  </si>
  <si>
    <t xml:space="preserve">SENS-036</t>
  </si>
  <si>
    <t xml:space="preserve">A Review of Reinforcement Learning Applications to Control of Heating, Ventilation and Air Conditioning Systems</t>
  </si>
  <si>
    <t xml:space="preserve">Sierla, S; Ihasalo, H; Vyatkin, V</t>
  </si>
  <si>
    <t xml:space="preserve">Already included</t>
  </si>
  <si>
    <t xml:space="preserve">None</t>
  </si>
  <si>
    <t xml:space="preserve">Not a new sensitivity-search inclusion; provenance corrected. Pre-existing coded corpus member absent from the preserved original export.</t>
  </si>
  <si>
    <t xml:space="preserve">Reinforcement learning has emerged as a potentially disruptive technology for control and optimization of HVAC systems. A reinforcement learning agent takes actions, which can be direct HVAC actuator commands or setpoints for control loops in building automation systems. The actions are taken to optimize one or more targets, such as indoor air quality, energy consumption and energy cost. The agent receives feedback from the HVAC systems to quantify how well these targets have been achieved. The feedback is captured by a reward function designed by the developer of the reinforcement learning agent. A few reviews have focused on the reward aspect of reinforcement learning applications for HVAC. However, there is a lack of reviews that assess how the actions of the reinforcement learning agent have been formulated, and how this impacts the possibilities to achieve various optimization targets in single zone or multi-zone buildings. The aim of this review is to identify the action formulations in the literature and to assess how the choice of formulation impacts the level of abstraction at which the HVAC systems are considered. Our methodology involves a search string in the Web of Science database and a list of selection criteria applied to each article in the search results. For each selected article, a three-tier categorization of the selected articles has been performed. Firstly, the applicability of the approach to buildings with one or more zones is considered. Secondly, the articles are categorized by the type of action taken by the agent, such as a binary, discrete or continuous action. Thirdly, the articles are categorized by the aspects of the indoor environment being controlled, namely temperature, humidity or air quality. The main result of the review is this three-tier categorization that reveals the community's emphasis on specific HVAC applications, as well as the readiness to interface the reinforcement learning solutions to HVAC systems. The article concludes with a discussion of trends in the field as well as challenges that require further research.</t>
  </si>
  <si>
    <t xml:space="preserve">SENS-003</t>
  </si>
  <si>
    <t xml:space="preserve">Weinberg, D; Wang, Q; Timoudas, TO; Fischione, C</t>
  </si>
  <si>
    <t xml:space="preserve">SUSTAINABLE CITIES AND SOCIETY</t>
  </si>
  <si>
    <t xml:space="preserve">SENS-037</t>
  </si>
  <si>
    <t xml:space="preserve">Han, MJ; May, R; Zhang, XX; Wang, XR; Pan, S; Yan, D; Jin, Y; Xu, LG</t>
  </si>
  <si>
    <t xml:space="preserve">SENS-048</t>
  </si>
  <si>
    <t xml:space="preserve">A Review of State-of-the-Art AI and Data-Driven Techniques for Load Forecasting</t>
  </si>
  <si>
    <t xml:space="preserve">Liu, J; He, XT; Li, KJ; Xue, WP</t>
  </si>
  <si>
    <t xml:space="preserve">10.3390/en18164408</t>
  </si>
  <si>
    <t xml:space="preserve">With the gradual penetration of new energy generation/storage, accurate and reliable load forecasting (LF) plays an increasingly important role in different energy management applications (e.g., power resource allocation, peak demand response, energy supply and demand optimization). In recent years, data-driven and artificial intelligence (AI) technologies have received considerable attention in the field of LF. This study provides a comprehensive review on the existing advanced AI and data-driven techniques used for LF tasks. First, the reviewed studies are classified from the load's spatial scale and forecasting time scale, and the research gap that this study aims to fill in the existing reviews is revealed. It was found that short-term forecasting dominates in the time scale (accounting for about 83.1%). Second, based on the summary of basic preprocessing methods, some advanced preprocessing methods are presented and analyzed. These advanced methods have greatly increased complexity compared with basic methods, while they can bring significant performance improvements such as adaptability and accuracy. Then, various LF models using the latest AI techniques, including deep learning, reinforcement learning, transfer learning, and ensemble learning, are reviewed and analyzed. These models are also summarized from several aspects, such as computational cost, interpretability, application scenarios, and so on. Finally, from the perspectives of data, techniques, and operations, a detailed discussion is given on some challenges and opportunities for LF.</t>
  </si>
  <si>
    <t xml:space="preserve">SENS-017</t>
  </si>
  <si>
    <t xml:space="preserve">A Review on a Data-Driven Microgrid Management System Integrating an Active Distribution Network: Challenges, Issues, and New Trends</t>
  </si>
  <si>
    <t xml:space="preserve">Tightiz, L; Yoo, J</t>
  </si>
  <si>
    <t xml:space="preserve">10.3390/en15228739</t>
  </si>
  <si>
    <t xml:space="preserve">The advent of renewable energy sources (RESs) in the power industry has revolutionized the management of these systems due to the necessity of controlling their stochastic nature. Deploying RESs in the microgrid (MG) as a subset of the utility grid is a beneficial way to achieve their countless merits in addition to controlling their random nature. Since a MG contains elements with different characteristics, its management requires multiple applications, such as demand response (DR), outage management, energy management, etc. The MG management can be optimized using machine learning (ML) techniques applied to the applications. This objective first calls for the microgrid management system (MGMS)'s required application recognition and then the optimization of interactions among the applications. Hence, this paper highlights significant research on applying ML techniques in the MGMS according to optimization function requirements. The relevant studies have been classified based on their objectives, methods, and implementation tools to find the best optimization and accurate methodologies. We mainly focus on the deep reinforcement learning (DRL) methods of ML since they satisfy the high-dimensional characteristics of MGs. Therefore, we investigated challenges and new trends in the utilization of DRL in a MGMS, especially as part of the active power distribution network (ADN).</t>
  </si>
  <si>
    <t xml:space="preserve">SENS-075</t>
  </si>
  <si>
    <t xml:space="preserve">A Review on Leveraging Reinforcement Learning for Enhanced Decision-Making in Power and Energy Systems</t>
  </si>
  <si>
    <t xml:space="preserve">P. N; M. M; A. Ravi; P. P. P; K. Kannan; D. Gunapriya</t>
  </si>
  <si>
    <t xml:space="preserve">2024 International Conference on Science Technology Engineering and Management (ICSTEM)</t>
  </si>
  <si>
    <t xml:space="preserve">10.1109/icstem61137.2024.10561146</t>
  </si>
  <si>
    <t xml:space="preserve">Reinforcement learning (RL) is a potential method for tackling difficult decision-making problems in power and energy systems. This review paper presents a thorough examination of the utilization of reinforcement learning (RL) methods in many areas of power and energy systems. These areas encompass demand-side management, energy optimization, grid control, and the integration of renewable energy. Through the utilization of RL algorithms, researchers and practitioners have successfully created intelligent and adaptable solutions that improve the efficiency, dependability, and sustainability of systems. This work analyses the theoretical underpinnings of reinforcement learning (RL), investigates its implementation in several domains of power and energy systems, deliberates on the obstacles and constraints, and proposes potential avenues for further research. This paper emphasizes the significant impact of Reinforcement Learning (RL) on the future of power and energy systems. By examining case studies and current breakthroughs, it showcases how RL has the ability to revolutionize these systems, making them more efficient and sustainable.</t>
  </si>
  <si>
    <t xml:space="preserve">SENS-074</t>
  </si>
  <si>
    <t xml:space="preserve">A Review on Optimization of Dynamic Electricity Price-Responsive Charging Load Driven by Deep Reinforcement Learning</t>
  </si>
  <si>
    <t xml:space="preserve">Y. Pu; X. Zeng; Q. Wang; Y. Tang</t>
  </si>
  <si>
    <t xml:space="preserve">2026 9th International Conference on Energy, Electrical and Power Engineering (CEEPE)</t>
  </si>
  <si>
    <t xml:space="preserve">10.1109/ceepe69795.2026.11552237</t>
  </si>
  <si>
    <t xml:space="preserve">With the global ownership of electric vehicles (EVs) projected to exceed 300 million by 2030 [1], their high-power and spatiotemporally random charging loads pose severe challenges to the stability of power grids, and traditional optimization methods struggle to address the problems of high-dimensional state space and multi-scale decision-making. This paper systematically elaborates on the research progress of deep reinforcement learning (DRL) in the collaborative optimization of dynamic electricity price-responsive charging loads [42][46][47]. By constructing a dynamic coupling model of charging load and electricity price, the nonlinear impacts of three types of electricity price mechanisms (time-of-use, real-time, and demand response incentive) on user behavior are analyzed in depth. Typical algorithms such as DQN, PPO and SAC are sorted out, together with their adaptive improvements in the energy field, including the processing of high-dimensional states by Convolutional Neural Networks (CNN) or Graph Neural Networks (GNN) [22] and privacy protection by federated learning [21]. At the application level, the TD3/DDPG strategy on the user side can reduce charging costs and cut peak loads [29][30]; aggregators participate in the electricity market relying on virtual power plants and achieve a significant increase in revenue; on the grid side, the combination with graph neural networks reduces the voltage deviation rate [22][37] and the curtailment rate of wind and solar energy [41]; after the introduction of Nash equilibrium and blockchain into multi-agent games [39][40], regional carbon emissions are reduced and the peak-valley difference is narrowed. However, issues such as strategy coordination dilemmas, V2G technical bottlenecks [30][33], insufficient cross-domain adaptability of models, and a single incentive mechanism still restrict large-scale implementation. Future research should focus on multi-agent federated reinforcement learning [21], transportation-energy cross-domain coordination, trusted privacy protection, and policy-technology-market coupling simulation, so as to promote the evolution of DRL from theoretical verification to engineering application, and provide theoretical support and technical paths for building a safe, efficient and low-carbon smart grid.</t>
  </si>
  <si>
    <t xml:space="preserve">SENS-022</t>
  </si>
  <si>
    <t xml:space="preserve">A review on virtual power plant for energy management</t>
  </si>
  <si>
    <t xml:space="preserve">Rouzbahani, HM; Karimipour, H; Lei, L</t>
  </si>
  <si>
    <t xml:space="preserve">10.1016/j.seta.2021.101370</t>
  </si>
  <si>
    <t xml:space="preserve">A Virtual Power Plant (VPP) is a practical concept that aggregates various Renewable Energy Sources (RESs) to improve energy management efficiency and facilitate energy trading. Operation scheduling for all energy components in VPPs plays a vital role from an energy management perspective. Technical and economic constraints and uncertainties that significantly affect the scheduling program must be considered simultaneously. This paper provides a comprehensive review of the scheduling problem in the VPP concept, following Kitchenham's guidelines, to address questions such as: What are the most frequent scheduling techniques in VPPs? How technical and economic aspects of scheduling have been considered to optimize the problem? Moreover, how to deal with different types of uncertainties? To that end, all previous studies on this topic have been extracted and analyzed, focusing on the scheduling algorithm's necessity. Several optimal scheduling methods are investigated that show learning-based approaches have not been well studied. Then, joint technical and economic limitations and dealing with various types of uncertainties are appraised. Contribute to better knowledge for future studies on VPPs, the research gaps regarding optimization techniques, joint technoeconomic, and various kinds of uncertainties have been introduced. Finally, this paper also suggests utilizing a Deep Reinforcement Learning (DRL)-based technique to address the mentioned concerns due to generalization, scalability, and feature extraction, which are originated from a combination of reinforcement learning and deep learning.</t>
  </si>
  <si>
    <t xml:space="preserve">SENS-083</t>
  </si>
  <si>
    <t xml:space="preserve">A Survey on Deep Learning Role in Distribution Automation System: A New Collaborative Learning-to-Learning (L2L) Concept</t>
  </si>
  <si>
    <t xml:space="preserve">M. Jafari; A. Kavousi-Fard; M. Dabbaghjamanesh; M. Karimi</t>
  </si>
  <si>
    <t xml:space="preserve">10.1109/access.2022.3195053</t>
  </si>
  <si>
    <t xml:space="preserve">This paper focuses on a powerful and comprehensive overview of Deep Learning (DL) techniques on Distribution Automation System (DAS) applications to provide a complete viewpoint of modern power systems. DAS is a crucial approach to increasing the reliability, quality, and management of distribution networks. Due to the importance of development and sustainable security of DAS, the use of DL data-driven technology has grown significantly. DL techniques have blossomed rapidly, and have been widely applied in several fields of distribution systems. DL techniques are suitable for dynamic, decision-making, and uncertain environments such as DAS. This survey has provided a comprehensive review of the existing research into DL techniques on DAS applications, including fault detection and classification, load and energy forecasting, demand response, energy market forecasting, cyber security, network reconfiguration, and voltage control. Comparative results based on evaluation criteria are also addressed in this manuscript. According to the discussion and results of studies, the use and development of hybrid methods of DL with other methods to enhance and optimize the configuration of the techniques are highlighted. In all matters, hybrid structures accomplish better than single methods as hybrid approaches hold the benefit of several methods to construct a precise performance. Due to this, a new smart technique called Learning-to-learning (L2L) based DL is proposed that can enhance and improve the efficiency, reliability, and security of DAS. The proposed model follows several stages that link different DL algorithms to solve modern power system problems. To show the effectiveness and merit of the L2L based on the proposed framework, it has been tested on a modified reconfigurable IEEE 32 test system. This method has been implemented on several DAS applications that the results prove the decline of mean square errors by approximately 12% compared to conventional LSTM and GRU methods in terms of prediction fields.</t>
  </si>
  <si>
    <t xml:space="preserve">SENS-020</t>
  </si>
  <si>
    <t xml:space="preserve">A Systematic Review of Building Energy Management and Optimization Using the Artificial Intelligence of Things (AIoT)</t>
  </si>
  <si>
    <t xml:space="preserve">Tian, YZ; Tian, Y; Jiang, Y; Mrzljak, V</t>
  </si>
  <si>
    <t xml:space="preserve">10.3390/buildings16132569</t>
  </si>
  <si>
    <t xml:space="preserve">The transition toward a net-zero economy requires buildings to evolve from passive consumers into Grid-Interactive Efficient Buildings (GEBs). Traditional Building Energy Management Systems (BEMSs) lack the dynamic intelligence needed to control stochastic energy flows and solve multi-objective optimization problems. To systematically map this technological shift, this study conducts a Systematic Literature Review (SLR) following PRISMA guidelines, analyzing a curated corpus of 144 studies (135 primary technical papers and 9 review articles). Due to the significant diversity in methodological approaches within cyber-physical testbeds and IoT architectures discovered through the literature review process, a qualitative narrative and architectural synthesis was conducted rather than a quantitative meta-analysis. Based on this framework, this review examines emerging paradigms for Cognitive Buildings based on Artificial Intelligence of Things (AIoT), edge computing, and semantic interoperability. This review discusses the evolution of algorithms from predictive Deep Learning (DL) and Deep Reinforcement Learning (DRL) to newer approaches such as Agentic AI and Physics-Informed Neural Networks (PINNs). These new methods address the fundamental "sim-to-real" gap while ensuring thermodynamic consistency and safety in physical actuation. It also presents strategic applications in multi-objective optimization of HVAC systems, demand response, energy arbitrage, and predictive maintenance. Moreover, this review tackles major real-world deployment issues by introducing Federated Learning for data privacy, Transfer Learning for portfolio scaling, and TinyML for overcoming the computational carbon paradox of "Green AI." By quantifying this paradox, the review contrasts the massive computational carbon footprint of cloud-based model training against the milliwatt-class efficiency of localized edge deployments. Overall, this review outlines potential research directions toward the development of autonomous Cognitive Digital Twins (CDTs) and Human-Centric Personal Comfort Models (PCMs).</t>
  </si>
  <si>
    <t xml:space="preserve">SENS-002</t>
  </si>
  <si>
    <t xml:space="preserve">In recent years, digitalisation has rendered machine learning a key tool for improving processes in several sectors, as in the case of electrical power systems. Machine learning algorithms are data-driven models based on statistical learning theory and employed as a tool to exploit the data generated by the power system and its users. Energy communities are emerging as novel organisations for consumers and prosumers in the distribution grid. These communities may operate differently depending on their objectives and the potential service the community wants to offer to the distribution system operator. This paper presents the conceptualisation of a local energy community on the basis of a review of 25 energy community projects. Furthermore, an extensive literature review of machine learning algorithms for local energy community applications was conducted, and these algorithms were categorised according to forecasting, storage optimisation, energy management systems, power stability and quality, security, and energy transactions. The main algorithms reported in the literature were analysed and classified as supervised, unsupervised, and reinforcement learning algorithms. The findings demonstrate the manner in which supervised learning can provide accurate models for forecasting tasks. Similarly, reinforcement learning presents interesting capabilities in terms of control-related applications.</t>
  </si>
  <si>
    <t xml:space="preserve">SENS-025</t>
  </si>
  <si>
    <t xml:space="preserve">The unprecedented proliferation of electric vehicles is envisioned to revolutionize the Intelligent Transportation System as an energy-efficient and environment-friendly alternative to fossil-fuel vehicles. Despite the indispensable benefits of electric vehicles, the enormous and fluctuating energy demand for electric vehicles can imperil the efficiency and stability of the electric grid, which further necessitates the discussion on balancing the demand and supply for electric vehicle efficient charging at the charging station. Some of the research studies focus on the electric vehicle demand response management but without considering various critical aspects such as security, optimality, and fluctuating parameters (electric load or traffic condition) that impact the net-zero emission or carbon neutrality that is required to fulfil some of the United Nation Sustainable Development Goals. Thus, this research study presented an exhaustive meta-survey to secure electric vehicles' demand response management towards a smart grid environment. Consequently, the research in the meta- survey discussed the taxonomy of demand response for electric vehicles, considering various aspects such as electric vehicle modelling, load forecasting, and optimization techniques. Furthermore, this review studied the holistic discussion on various security techniques such as encryption, authentication, and consensus protocols for protected and preserved electric vehicle demand response management through the smart grid environment. Moreover, a case study is presented that focuses on the security and optimality aspects of demand response management for electric vehicles using blockchain and the reinforcement learning approach. The proposed case study focuses on optimizing electric vehicle energy trading based on optimized energy consumption for secure and efficient demand response management with the smart grid. Finally, the meta-surveys research challenges and future opportunities have been targeted and discussed for secure and optimal electric vehicle demand response management for future works.</t>
  </si>
  <si>
    <t xml:space="preserve">SENS-031</t>
  </si>
  <si>
    <t xml:space="preserve">Agentic Artificial Intelligence for Smart Grids: A Comprehensive Review of Autonomous, Safe, and Explainable Control Frameworks</t>
  </si>
  <si>
    <t xml:space="preserve">Kiasari, M; Aly, H</t>
  </si>
  <si>
    <t xml:space="preserve">10.3390/en19030617</t>
  </si>
  <si>
    <t xml:space="preserve">Agentic artificial intelligence (AI) is emerging as a paradigm for next-generation smart grids, enabling autonomous decision-making, adaptive coordination, and resilient control in complex cyber-physical environments. Unlike traditional AI models, which are typically static predictors or offline optimizers, agentic AI systems perceive grid states, reason about goals, plan multi-step actions, and interact with operators in real time. This review presents the latest advances in agentic AI for power systems, including architectures, multi-agent control strategies, reinforcement learning frameworks, digital twin optimization, and physics-based control approaches. The synthesis is based on new literature sources to provide an aggregate of techniques that fill the gap between theoretical development and practical implementation. The main application areas studied were voltage and frequency control, power quality improvement, fault detection and self-healing, coordination of distributed energy resources, electric vehicle aggregation, demand response, and grid restoration. We examine the most effective agentic AI techniques in each domain for achieving operational goals and enhancing system reliability. A systematic evaluation is proposed based on criteria such as stability, safety, interpretability, certification readiness, and interoperability for grid codes, as well as being ready to deploy in the field. This framework is designed to help researchers and practitioners evaluate agentic AI solutions holistically and identify areas in which more research and development are needed. The analysis identifies important opportunities, such as hierarchical architectures of autonomous control, constraint-aware learning paradigms, and explainable supervisory agents, as well as challenges such as developing methodologies for formal verification, the availability of benchmark data, robustness to uncertainty, and building human operator trust. This study aims to provide a common point of reference for scholars and grid operators alike, giving detailed information on design patterns, system architectures, and potential research directions for pursuing the implementation of agentic AI in modern power systems.</t>
  </si>
  <si>
    <t xml:space="preserve">SENS-056</t>
  </si>
  <si>
    <t xml:space="preserve">AI-Driven Load Forecasting for Dynamic Tariff Structuring: A Comprehensive Review</t>
  </si>
  <si>
    <t xml:space="preserve">Apata, O; Ratshitanga, M; Davidson, IE</t>
  </si>
  <si>
    <t xml:space="preserve">10.3390/en19163880</t>
  </si>
  <si>
    <t xml:space="preserve">Dynamic electricity tariffs are increasingly deployed to manage demand-side flexibility in decarbonising power systems, making AI-driven load forecasting a critical enabler of adaptive pricing. However, existing studies largely treat forecasting and tariff design as independent problems, evaluating models on predictive accuracy alone while neglecting the feedback effects through which price signals reshape consumer behaviour and introduce non-stationarity into the very demand distributions forecasts depend upon. This gap leaves practitioners without coherent guidance on how to structure, govern, and adapt forecasting models in price-responsive environments. This paper addresses the gap through a Preferred Reporting Items for Systematic Reviews and Meta-Analyses (PRISMA)-informed structured review of peer-reviewed studies spanning statistical, machine learning, deep learning, probabilistic, and reinforcement learning forecasting paradigms. Three principal findings emerge. First, dynamic pricing fundamentally invalidates static forecasting assumptions by inducing a distributional shift in demand data, making robustness to behavioural feedback a first-order requirement for deployment. Second, no single forecasting paradigm simultaneously satisfies the requirements of accuracy, interpretability, uncertainty quantification, and regulatory defensibility that dynamic tariff systems impose; layered, role-specific architectures are therefore operationally necessary. Third, explainability and governance constraints are structural requirements for tariff-oriented forecasting, not optional enhancements, because forecast outputs directly influence economically and socially consequential pricing decisions. Building on these findings, the paper proposes a Forecast-Driven Dynamic Tariff Design Framework that separates forecasting intelligence from pricing authority, embeds uncertainty management as a first-class design element, and positions a governance layer as the mandatory interface between predictive outputs and consumer-facing tariff signals. The framework provides a practical and regulatorily defensible foundation for deploying adaptive, resilient, and equitable electricity tariffs in data-intensive power systems.</t>
  </si>
  <si>
    <t xml:space="preserve">SENS-021</t>
  </si>
  <si>
    <t xml:space="preserve">AI-driven smart home appliance optimization: A systematic review</t>
  </si>
  <si>
    <t xml:space="preserve">Zafar, T; Khan, MTR; Fahrioglu, M; Ever, E</t>
  </si>
  <si>
    <t xml:space="preserve">APPLIED ENERGY</t>
  </si>
  <si>
    <t xml:space="preserve">10.1016/j.apenergy.2026.128665</t>
  </si>
  <si>
    <t xml:space="preserve">Smart homes are widely recognized as a vital component of sustainable energy systems due to their potential to reduce energy consumption and peak demand. Artificial intelligence plays a crucial role in this process by optimizing smart appliances in homes using data obtained from smart meters and IoT devices. Unlike existing surveys that primarily focus on broad smart grid optimization frameworks or standalone prediction approaches, this work specifically concentrates on AI-based smart home appliance optimization and provides a unified perspective by integrating prediction, control, and user-centric energy management across multiple application domains. Following the Preferred Reporting Items for Systematic Reviews and Meta-Analysis (PRISMA) guidelines, this study presents a systematic review of state-of-the-art AI-driven optimization techniques for smart appliances in smart homes. The survey highlights how AI-based approaches can effectively manage dynamic pricing schemes, renewable energy integration, and evolving consumer behavior while maintaining user comfort and energy efficiency. The review covers various important application domains of smart homes such as heating, ventilation, air conditioning and lighting control, smart appliance scheduling, load forecasting, non-intrusive load monitoring, and demand response. Additionally, this paper covers AI/ML/DL models used in smart homes, data used in AI models, publicly available datasets, data preprocessing methodologies and performance metrics. Moreover, the study identifies important challenges associated with smart homes and AI-based optimization models such as scalability issues, data diversity and future research directions.</t>
  </si>
  <si>
    <t xml:space="preserve">SENS-034</t>
  </si>
  <si>
    <t xml:space="preserve">This comprehensive review paper aims to provide an in-depth analysis of the most recent developments in the applications of artificial intelligence (AI) techniques, with an emphasis on their critical role in the demand side of power distribution systems. This paper offers a meticulous examination of various AI models and a pragmatic guide to aid in selecting the suitable techniques for three areas: load forecasting, anomaly detection, and demand response in real-world applications. In the realm of load forecasting, the paper presents a thorough guide for choosing the most fitting machine learning and deep learning models, inclusive of reinforcement learning, in conjunction with the application of hybrid models and learning optimization strategies. This selection process is informed by the properties of load data and the specific scenarios that necessitate forecasting. Concerning anomaly detection, this paper provides an overview of the merits and limitations of disparate learning methods, fostering a discussion on the optimization strategies that can be harnessed to navigate the issue of imbalanced data, a prevalent concern in power system anomaly detection. As for demand response, we delve into the utilization of AI techniques, examining both incentive-based and price-based demand response schemes. We take into account various control targets, input sources, and applications that pertain to their use and effectiveness. In conclusion, this review paper is structured to offer useful insights into the selection and design of AI techniques focusing on the demand-side applications of future energy systems. It provides guidance and future directions for the development of sustainable energy systems, aiming to serve as a cornerstone for ongoing research within this swiftly evolving field.</t>
  </si>
  <si>
    <t xml:space="preserve">SENS-082</t>
  </si>
  <si>
    <t xml:space="preserve">SENS-081</t>
  </si>
  <si>
    <t xml:space="preserve">An Overview of Home Energy Management Systems for a Fully Coordinated Approach</t>
  </si>
  <si>
    <t xml:space="preserve">T. Venkata Balaji; R. Vijay; P. Mathuria</t>
  </si>
  <si>
    <t xml:space="preserve">2022 22nd National Power Systems Conference (NPSC)</t>
  </si>
  <si>
    <t xml:space="preserve">10.1109/npsc57038.2022.10068935</t>
  </si>
  <si>
    <t xml:space="preserve">Residential sector is one of the largest energy-consuming sectors, which is having a requirement of over one-third of total demand. Being the most dynamic and unique one to control, invariably it must be optimized in an effective way. The increase in population will also require additional generation of energy which can’t be abated as it effects the growth of people in all ways. So currently, the need to use energy-efficient devices and techniques at the Demand Side is same as the need to generate electricity through the renewables. Home Energy Management Systems (HEMS) is used for optimizing and scheduling load in the demand side along with renewable integration. This paper briefly reviewed HEMS by discussing its architecture, components, appliance classification and its objectives to manage the load demand at the residential level due to integration of different devices along with their uncertainty’s considerations. Furthermore, this manuscript also provides detailed summary of several prediction and scheduling techniques used in the recent studies which can be used further. As it is a well-diversified and a fast-growing field in the real time applications, it still needs further development in coordination between its own devices and with the upper-level utilities to reach its full potential.</t>
  </si>
  <si>
    <t xml:space="preserve">SENS-010</t>
  </si>
  <si>
    <t xml:space="preserve">The paper's state-of-the-art review focuses on an in-depth evaluation of smart home energy management systems which employ reinforcement learning -based methods to integrate energy storages. In order to optimize energy consumption and improve overall sustainability while maintaining technical and economic constraints, the paper first investigates the multi -faceted aspects of integrating energy storages into smart homes. Second, an overview of a smart home system and a theoretical background of reinforcement learning -based algorithms are given and discussed. Consequently, this study delves into the challenges and benefits of integrating energy storage, specifically looking at ways to lessen the impact of renewable sources' intermittency, improve grid stability, and streamline efficient energy storage management. Thirdly, the paper highlights the beneficial features of smart home energy storage integration, including reduced costs, increased system resilience, and improved energy efficiency. Therefore, cutting -edge reinforcement learning -based methods utilized in smart home energy management systems that incorporate energy storage are thoroughly examined by evaluating their effectiveness and adaptability, taking into account both multi -agent and single -agent reinforcement learningbased methods. Finally, the study identifies potential research directions, including the development of hybrid reinforcement learning algorithms, integration of demand -side management strategies, and addressing privacy and security concerns in reinforcement learning -based smart home energy management systems. While some research has made use of single -agent reinforcement learning, smart home energy storage systems that use energy storages seldom use multi -agent reinforcement learning techniques. Researchers, practitioners, and policymakers will be able to use this work as a foundation to build smart, sustainable home energy systems.</t>
  </si>
  <si>
    <t xml:space="preserve">SENS-052</t>
  </si>
  <si>
    <t xml:space="preserve">Application of Artificial Intelligence for EV Charging and Discharging Scheduling and Dynamic Pricing: A Review</t>
  </si>
  <si>
    <t xml:space="preserve">Chen, Q; Folly, KA</t>
  </si>
  <si>
    <t xml:space="preserve">10.3390/en16010146</t>
  </si>
  <si>
    <t xml:space="preserve">The high penetration of electric vehicles (EVs) will burden the existing power delivery infrastructure if their charging and discharging are not adequately coordinated. Dynamic pricing is a special form of demand response that can encourage EV owners to participate in scheduling programs. Therefore, EV charging and discharging scheduling and its dynamic pricing model are important fields of study. Many researchers have focused on artificial intelligence-based EV charging demand forecasting and scheduling models and suggested that artificial intelligence techniques perform better than conventional optimization methods such as linear, exponential, and multinomial logit models. However, only a few research studies focused on EV discharging scheduling (i.e., vehicle-to-grid, V2G) because the concept of EV discharging electricity back to the power grid is relatively new and evolving. Therefore, a review of existing EV charging and discharging-related studies is needed to understand the research gaps and to make some improvements in future studies. This paper reviews EV charging and discharging-related studies and classifies them into forecasting, scheduling, and pricing mechanisms. The paper determines the linkage between forecasting, scheduling, and pricing mechanism and identifies the research gaps in EV discharging scheduling and dynamic pricing models.</t>
  </si>
  <si>
    <t xml:space="preserve">SENS-016</t>
  </si>
  <si>
    <t xml:space="preserve">The need for a greener and more sustainable energy system evokes a need for more extensive energy system transition research. The penetration of distributed energy resources and Internet of Things technologies facilitate energy system transition towards the next generation of energy system concepts. The next generation of energy system concepts include "integrated energy system", "multi-energy system", or "smart energy system". These concepts reveal that future energy systems can integrate multiple energy carriers with autonomous intelligent decision making. There are noticeable trends in using the agent-based method in research of energy systems, including multi-energy system transition simulation with agent-based modeling (ABM) and multi-energy system management with multi-agent system (MAS) modeling. The need for a comprehensive review of the applications of the agent-based method motivates this review article. Thus, this article aims to systematically review the ABM and MAS applications in multi-energy systems with publications from 2007 to the end of 2021. The articles were sorted into MAS and ABM applications based on the details of agent implementations. MAS application papers in building energy systems, district energy systems, and regional energy systems are reviewed with regard to energy carriers, agent control architecture, optimization algorithms, and agent development environments. ABM application papers in behavior simulation and policy-making are reviewed with regard to the agent decision-making details and model objectives. In addition, the potential future research directions in reinforcement learning implementation and agent control synchronization are highlighted. The review shows that the agent-based method has great potential to contribute to energy transition studies with its plug-and-play ability and distributed decision-making process.</t>
  </si>
  <si>
    <t xml:space="preserve">SENS-018</t>
  </si>
  <si>
    <t xml:space="preserve">Laton, D; Grela, J; Ozadowicz, A</t>
  </si>
  <si>
    <t xml:space="preserve">Current 17-survey corpus; supplementary-search record</t>
  </si>
  <si>
    <t xml:space="preserve">Not a new sensitivity-search inclusion</t>
  </si>
  <si>
    <t xml:space="preserve">In the context of the increasing integration of renewable energy sources (RES) and smart devices in domestic applications, the implementation of Home Energy Management Systems (HEMS) is becoming a pivotal factor in optimizing energy usage and reducing costs. This review examines the role of reinforcement learning (RL) in the advancement of HEMS, presenting it as a powerful tool for the adaptive management of complex, real-time energy demands. This review is notable for its comprehensive examination of the applications of RL-based methods and tools in HEMS, which encompasses demand response, load scheduling, and renewable energy integration. Furthermore, the integration of RL within distributed automation and Internet of Things (IoT) frameworks is emphasized in the review as a means of facilitating autonomous, data-driven control. Despite the considerable potential of this approach, the authors identify a number of challenges that require further investigation, including the need for robust data security and scalable solutions. It is recommended that future research place greater emphasis on real applications and case studies, with the objective of bridging the gap between theoretical models and practical implementations. The objective is to achieve resilient and secure energy management in residential and prosumer buildings, particularly within local microgrids.</t>
  </si>
  <si>
    <t xml:space="preserve">SENS-071</t>
  </si>
  <si>
    <t xml:space="preserve">Artificial Intelligence and Machine Learning in Cyber–Physical Systems: A Unified Review of Methodologies for Smart Energy Systems and Intelligent Localization</t>
  </si>
  <si>
    <t xml:space="preserve">S. Mamun; S. Ioannou; M. Raspopoulos; S. Peng</t>
  </si>
  <si>
    <t xml:space="preserve">10.1109/access.2026.3704476</t>
  </si>
  <si>
    <t xml:space="preserve">The transformative advancement of critical infrastructure is being driven by the integration of artificial intelligence (AI) and machine learning (ML) with cyber-physical systems (CPS). In this review, two seemingly distinct domains-Intelligent Energy Systems, including smart grids and energy communities, and Intelligent Localization and Navigation Systems for GPS-denied environments-are unified through a common methodological lens. A shared framework of AI/ML paradigms, encompassing supervised and reinforcement learning, probabilistic models, sensor fusion, and physics-informed techniques, is established. Furthermore, the adaptation of these methods is examined under domain-specific constraints, such as stochastic energy generation, power flow limitations, and real-time robotic navigation. Through the analysis of high-impact studies from 2018-2026, cross-cutting trends are identified, including the use of graph neural networks for spatial modeling and multi-agent systems for decentralized decision-making. Persistent challenges regarding data scarcity, interpretability, and edge deployment are found to remain central across CPS applications. In response to these challenges, the CPS-Bench platform-a unified, cross-domain benchmark designed to standardize evaluation across energy and localization tasks-is proposed. Four primary contributions are presented: 1) a cohesive taxonomy by which two previously isolated CPS domains are connected, 2) a comparative analysis through which transferable techniques are uncovered, 3) a thorough assessment of domain-specific adaptations, and 4) the introduction of the CPS-Bench framework alongside a practical roadmap for interdisciplinary collaboration. It is concluded that the next generation of CPS will be defined by adaptive, embodied intelligence, where AI is co-designed with physical components. By such a vision, the energy transition is expected to be accelerated and resilient, human-centric infrastructure is expected to be realized.</t>
  </si>
  <si>
    <t xml:space="preserve">SENS-028</t>
  </si>
  <si>
    <t xml:space="preserve">Artificial Intelligence in Smart Grids and Power-Electronic- Interfaced Microgrids: A Systematic Literature Review of Energy Management, Optimisation, and Cybersecurity</t>
  </si>
  <si>
    <t xml:space="preserve">Alsbua, R; Al-Soeidat, M; Salah, A; Alsodi, O; Lu, DDC</t>
  </si>
  <si>
    <t xml:space="preserve">10.3390/en19153643</t>
  </si>
  <si>
    <t xml:space="preserve">The increasing penetration of distributed energy resources, variable renewable generation, battery energy storage systems, electric vehicles, and power-electronic interfaces is changing the way modern smart grids and microgrids are operated, protected, and controlled. This systematic literature review follows the PRISMA 2020 framework and examines 87 original research papers, complemented by a supplementary synthesis of 18 contextual studies that provide bibliometric, historical, and conceptual perspectives on the evolution of AI in smart grids. The primary studies are organized into six thematic clusters: energy management and forecasting; cybersecurity and intrusion detection; renewable energy integration and microgrid management; fault detection, diagnosis, and grid stability; explainable and trustworthy artificial intelligence; and emerging technologies, including digital twins, blockchain, the Internet of Things, edge computing, and federated learning. The review shows that deep learning, reinforcement learning, and ensemble machine learning are increasingly used for load forecasting, demand response, converter-interfaced renewable integration, intrusion detection, and operational optimization. However, the literature remains uneven. Fault detection, converter-aware protection, and real-time stability assessment receive considerably less attention than energy management and cybersecurity, despite their importance for inverter-based resources, grid-forming converters, electric-vehicle charging systems, and battery interfacing. Four critical gaps are identified: limited cross-grid generalizability, weak validation under realistic converter and protection constraints, insufficient adversarial robustness of AI-enabled defense systems, and limited explainability in real-time safety-critical applications. The paper provides a structured taxonomy, identifies deployment barriers, and proposes research directions for trustworthy AI in power-electronic-rich smart grids and microgrids.</t>
  </si>
  <si>
    <t xml:space="preserve">SENS-057</t>
  </si>
  <si>
    <t xml:space="preserve">Barja-Martinez, S; Aragüés-Peñalba, M; Munné-Collado, I; Lloret-Gallego, P; Bullich-Massagué, E; Villafafila-Robles, R</t>
  </si>
  <si>
    <t xml:space="preserve">SENS-053</t>
  </si>
  <si>
    <t xml:space="preserve">Artificial intelligence, IoT, and solar PV-integrated home energy management systems: A review</t>
  </si>
  <si>
    <t xml:space="preserve">Rokonuzzaman, M; Mishu, MK; Yap, BK; Nur-E-Alam, M; Rahman, KS; Islam, A; Pasupuleti, J; Amin, N</t>
  </si>
  <si>
    <t xml:space="preserve">RESULTS IN ENGINEERING</t>
  </si>
  <si>
    <t xml:space="preserve">10.1016/j.rineng.2025.108954</t>
  </si>
  <si>
    <t xml:space="preserve">The rapid growth of solar photovoltaic (PV) systems, residential energy storage systems (ESS), Artificial Intelligence (AI) and Internet of Things (IoT)-enabled sensing devices has increased the demand for smart Home Energy Management Systems (HEMS) capable of optimizing energy use in smart buildings. This review presents a structured synthesis of recent research on AI and IoT-integrated HEMS, focusing on forecasting methods, optimization strategies, appliance scheduling, and demand side management (DSM). The analysis reveals that advanced neural network variants and hybrid AI approaches can achieve high accuracy in forecasting; however, the practical deployment is often constrained by computational complexity, limited generalization, and low technology readiness. Reinforcement learning (RL) shows strong potential for adaptive real-time control; however, sample inefficiency and the simulation-to-reality gap remain major challenges. Across the reviewed literature, fragmented IoT communication standards, cybersecurity vulnerabilities, limited prosumer participation, and insufficient validation through hardware-in-the-loop and field testing emerge as key barriers to large-scale adoption. Based on these findings, the paper outlines a future research roadmap emphasizing hybrid AIoptimization frameworks, edge-computing architectures, blockchain-enabled peer-to-peer (P2P) energy trading, and standardized validation protocols. The review provides actionable insights to support the development of scalable, secure, and interoperable HEMS, contributing to the realization of smart, sustainable, and net-zero residential energy systems.</t>
  </si>
  <si>
    <t xml:space="preserve">SENS-006</t>
  </si>
  <si>
    <t xml:space="preserve">Shi, YZ; Cao, XD; Yang, XD</t>
  </si>
  <si>
    <t xml:space="preserve">Decarbonization of the building sector is crucial for achieving global carbon neutrality, as the industry constitutes 37 % of total greenhouse gas (GHG) emissions worldwide. While operational carbon emissions (OCE) have declined through energy efficiency advancements, embodied carbon emissions (ECE) remain challenging to address due to their complexity across multiple building lifecycle stages. Conventional Life Cycle Assessment (LCA) faces limitations in dynamic scenarios, regional variability, and system boundary inconsistencies. Following the PRISMA 2020 guidelines, we conducted a systematic review of 7,731 publications (2020-2024), ultimately analyzing 159 high-impact studies. This review employs bibliometric analysis and qualitative content analysis to identify methodological innovations and effective reduction strategies. Bibliometric analysis revealed a notable shift from traditional LCA approaches toward two pivotal paradigm shifts: (1) machine learning (ML)-driven methodologies for dynamic assessment and reduction, which leverage three fundamental learning paradigms (supervised, unsupervised, and reinforcement learning) to automate predictive modeling, uncertainty quantification, and design optimization across the building lifecycle; and (2) multi-criteria decision-making (MCDM)-based frameworks that integrate regional-specific variables to resolve the carbon-performance-cost trilemma. Case studies from diverse geographical contexts highlight the necessity of context-sensitive strategies, demonstrating how localized decarbonization pathways can reduce ECE while maintaining building performance. Key challenges include data heterogeneity and standardization gaps, interpretability limitations of advanced ML algorithms, and geospatial adaptation of MCDM frameworks. Key findings emphasize the need for hybrid ML-MCDM frameworks with enhanced explainability that deliver actionable insights for ECE reduction in diverse contexts. Future research should prioritize the development of interpretable ML models that balance computational efficiency with transparent design parameter justification, establishing unified protocols for ECE accounting across diverse contexts, and fostering cross-disciplinary partnerships.</t>
  </si>
  <si>
    <t xml:space="preserve">SENS-047</t>
  </si>
  <si>
    <t xml:space="preserve">Climate Resilience and Energy Flexibility in Industrial Systems: A Scoping Review of Concepts, Technologies, Applications, and Policy Links</t>
  </si>
  <si>
    <t xml:space="preserve">Ma, ZG; Billanes, JD; Jorgensen, BN</t>
  </si>
  <si>
    <t xml:space="preserve">10.3390/en18184985</t>
  </si>
  <si>
    <t xml:space="preserve">Industrial sectors face increasing pressure to decarbonize while adapting to climate change. Energy flexibility, the ability to adjust energy use in response to market signals, grid conditions, or operational needs, supports both decarbonization and resilience but remains fragmented in definition, scope, and application. Physical and operational measures and digital/AI-based enablers are often studied in isolation, and sector-specific constraints, along with policy-market misalignment, limit adoption. This study addresses this critical knowledge gap by conducting a PRISMA-guided scoping review of 74 peer-reviewed sources, synthesizing disparate insights into a unified framework. Five thematic areas emerged: (1) varied definitions of demand response, energy flexibility, and multi-energy systems; (2) physical/operational tools such as DR program designs, optimization frameworks, storage, and multi-energy integration; (3) digital enablers including machine learning, reinforcement learning, predictive control, digital twins, and blockchain; (4) sectoral applications from heavy industry to emerging niches; and (5) barriers spanning technical to behavioral domains. The review introduces the Climate-Resilient Industrial Flexibility Framework, linking conceptual, technological, sectoral, and policy/market dimensions. This synthesis standardizes fragmented concepts, maps integrated technology landscapes and outlines a research agenda to guide future studies and inform policy, market design, and industrial practice.</t>
  </si>
  <si>
    <t xml:space="preserve">SENS-084</t>
  </si>
  <si>
    <t xml:space="preserve">SENS-051</t>
  </si>
  <si>
    <t xml:space="preserve">Computational Game-Theoretic Models for Adaptive Urban Energy Systems: A Comprehensive Review of Algorithms, Strategies, and Engineering Applications</t>
  </si>
  <si>
    <t xml:space="preserve">Cheng, LF; Li, ML; Tan, C; Huang, PR; Zhang, MY; Sun, RB</t>
  </si>
  <si>
    <t xml:space="preserve">ARCHIVES OF COMPUTATIONAL METHODS IN ENGINEERING</t>
  </si>
  <si>
    <t xml:space="preserve">10.1007/s11831-025-10364-y</t>
  </si>
  <si>
    <t xml:space="preserve">The rapid proliferation of smart grid infrastructures in urban environments has brought significant challenges to sustainable energy management, demand response optimization, and grid resilience due to the dynamic and uncertain behavior of electricity users. Game theory provides a rigorous and versatile framework for modeling the strategic interactions among power users, offering critical insights into user behavior in areas such as dynamic pricing, load management, and demand-side participation. This comprehensive review synthesizes state-of-the-art advancements in the application of game-theoretic models-including static, dynamic, repeated, and evolutionary games-to urban energy systems. It emphasizes how these models address the complexities of individual and collective user behavior, offering solutions for long-term strategy optimization, risk aversion, and multi-objective decision-making under uncertainty. By integrating advanced computational techniques such as reinforcement learning and multi-agent systems, game-theoretic approaches enable the development of adaptive and intelligent mechanisms for resilient energy management. This paper highlights practical case studies in demand response, distributed energy management, and electric vehicle charging, showcasing the transformative potential of game theory to optimize behavior and enhance system stability within sustainable urban grids. Furthermore, it identifies critical gaps in existing research, particularly the need to incorporate socio-economic factors and personalized behavior models into game-theoretic frameworks to better address the evolving demands of smart cities. This review advances the discourse on sustainable urban energy by proposing forward-looking strategies that integrate behavioral modeling with intelligent algorithms. It provides a robust theoretical foundation and actionable insights for researchers, policymakers, and practitioners, offering a pathway to design adaptive, resilient, and sustainable smart grids. By aligning with the critical challenges of urban energy systems and exploring the frontiers of game-theoretic innovation, this study establishes a blueprint for future research in sustainable cities and intelligent urban energy management.</t>
  </si>
  <si>
    <t xml:space="preserve">SENS-013</t>
  </si>
  <si>
    <t xml:space="preserve">Consensus Algorithms and Deep Reinforcement Learning in Energy Market: A Review</t>
  </si>
  <si>
    <t xml:space="preserve">Jogunola, O; Adebisi, B; Ikpehai, A; Popoola, S; Gui, G; Gacanin, H; Ci, S</t>
  </si>
  <si>
    <t xml:space="preserve">10.1109/jiot.2020.3032162</t>
  </si>
  <si>
    <t xml:space="preserve">Blockchain (BC) and artificial intelligence (AI) are often utilized separately in energy trading systems (ETSs). However, these technologies can complement each other and reinforce their capabilities when integrated. This article provides a comprehensive review of consensus algorithms (CAs) of BC and deep reinforcement learning (DRL) in ETS. While the distributed consensus underpins the immutability of transaction records of prosumers, the deluge of data generated paves the way to use AI algorithms for forecasting and address other data analytic-related issues. Hence, the motivation to combine BC with AI to realize secure and intelligent ETS. This study explores the principles, potentials, models, active research efforts and unresolved challenges in the CA and DRL. The review shows that despite the current interest in each of these technologies, little effort has been made at jointly exploiting them in ETS due to some open issues. Therefore, new insights are actively required to harness the full potentials of CA and DRL in ETS. We propose a framework and offer some perspectives on effective BC-AI integration in ETS.</t>
  </si>
  <si>
    <t xml:space="preserve">SENS-064</t>
  </si>
  <si>
    <t xml:space="preserve">Coordinated electric vehicles dispatch for multi-service provisions: A comprehensive review of modelling and coordination approaches</t>
  </si>
  <si>
    <t xml:space="preserve">Su, Chutian; Wang, Yi; Strbac, Goran</t>
  </si>
  <si>
    <t xml:space="preserve">10.1016/j.rser.2025.115977</t>
  </si>
  <si>
    <t xml:space="preserve">As one of the demand-side technologies, electric vehicles (EVs) have been widely applied in modern power systems to provide ancillary services due to their mobility and flexibility. Large-scale EV integration facilitates the transition towards a low-carbon future while enhancing system stability and security. Consequently, research in EV routing and scheduling in coupled power and transport networks towards multi-service provisions has gained considerable attention. Given the inherent complexity and low-inertia nature of distribution systems-characterised by high penetration of renewable energy sources, various uncertainties, and dynamic operation conditions-there is an urgent need to develop intelligent and automated control strategies to coordinate multiple EVs for ancillary service provisions effectively. In this paper, various ancillary services are first classified into three types: energy imbalance service, security-related services, and social welfare services, covering demand response, frequency response, voltage regulation, resilience, carbon intensity service, and economic benefits. As far as the EV coordination strategies in multi-service provisions are concerned, four types of control approaches are appropriately reviewed: centralised, hierarchical, distributed, and decentralised control. Specifically, this paper provides insights into utilising reinforcement learning (RL), a model-free online learning method that can capture uncertainties and adapt to different state conditions in real-time, to address coordinated EV dispatch problems in a decentralised manner. Finally, research challenges are identified, and potential future research directions are discussed, covering different perspectives, e.g., market incentives, privacy and safety, uncertainty handling, realistic EV modelling, and cybersecurity.</t>
  </si>
  <si>
    <t xml:space="preserve">SENS-059</t>
  </si>
  <si>
    <t xml:space="preserve">Data-driven machine learning-based methods have provided immense capabilities, revolutionizing sectors like the Buildings-to-grid (B2G) integrated system. Since the penetration rate of distributed energy resources increases towards a net-zero emissions power system, so does the need for advanced services that ensure B2G-integrated system reliability. The convergence of advancements in machine learning, computational resources at the entire cloud-edge continuum, and large datasets from sensing devices enable the development of these data-driven energy analytics services. This work conducts a systematic text-mining-based literature review to examine the diverse range and trends of machine learning methods used to enhance reliability in B2G-integrated systems. While traditional manual sampling and analysis approaches have limited the effectiveness of previous literature review papers in this field, this systematic literature review work aims to synthesize and summarize the existing body of research more efficiently and effectively. To achieve this, this study collected almost 10,500 papers from Scholar and Scopus databases. It employed text-mining-assisted BERTopic-based topic modelling and statistical trend analysis techniques to uncover semantic patterns and explore the temporal evolution of research themes. A two-dimensional taxonomy was derived to analyze the technical papers from a business and machine learning-related perspective. By quantifying the temporal trends within these topics, the study unveiled insights about the state-of-the-art analytics that ensure reliability in the B2G-integrated system domain while proposing future research directions.</t>
  </si>
  <si>
    <t xml:space="preserve">SENS-045</t>
  </si>
  <si>
    <t xml:space="preserve">A virtual power plant (VPP) refers to an active aggregator of heterogeneous distributed energy resources (DERs), which creates a promising pathway to expand renewable energy and demand-side electrification for deep decarbonization. The VPP market is projected to have a significant growth potential, with the global investment surging from $6.47 billion in 2022 to $16.90 billion by 2030. Up to now, VPPs still face technical challenges in dealing with the inherent uncertainty of DERs, and data emerge as a promising and essential resource to handle this issue. This paper makes the first effort to review the development of VPP technologies from a data-centric perspective, and then analyze the major role of data within every decision phase of VPPs. We examine the VPP energy management through a data lifecycle lens, and extensively survey the progress in data creation, data communication, data-driven decision support, data sharing and privacy, as well as technical solutions stemming from reinforcement learning, peer-to-peer sharing, blockchain, and market participation. In addition, we offer a unique overview of open data and recent real-world projects around the world to showcase the latest VPP practices. We finally discuss the major challenges and future opportunities in detail, with a focus on topics such as public benchmarks, internet of things, 5G, explainable artificial intelligence, and federated learning. We highlight the need for technical advances in data management and support systems for the growing scale of future VPP systems, and suggest VPPs delivering more ancillary grid services in the future.</t>
  </si>
  <si>
    <t xml:space="preserve">SENS-072</t>
  </si>
  <si>
    <t xml:space="preserve">Data-Driven Volt/VAR Optimization for Modern Distribution Networks: A Review</t>
  </si>
  <si>
    <t xml:space="preserve">S. Allahmoradi; S. Afrasiabi; X. Liang; J. Zhao; M. Shahidehpour</t>
  </si>
  <si>
    <t xml:space="preserve">10.1109/access.2024.3403035</t>
  </si>
  <si>
    <t xml:space="preserve">The Volt/Var optimization (VVO) enables advanced control strategy development for voltage regulation. With the recent advancement of data-driven approaches and communication infrastructure, realtime decision-making through VVO can effectively address distributed energy resources (DERs) uncertainties without relying on models and topologies of distribution networks. In this paper, a comprehensive review on data-driven VVO in distribution networks is presented, focusing on statistics and machine learning (supervised/unsupervised, ensemble, and reinforcement learning (RL)). State-of-the-art monitoring devices essential in data-driven VVO frameworks are firstly discussed. How data-driven structures serve as primary or supplementary tools in VVO frameworks is then detailed. Since RL is increasingly used, RL-based algorithms (value-based, policy-based, actor-critic-based, and graph-based algorithms) are reviewed. Decision-making processes for RL-based VVO frameworks, such as the Markov decision process (MDP), Markov game, constrained Markov decision process, constrained Marko game, and adversarial Markov decision process, are also surveyed. Future research directions in this area are recommended in the paper.</t>
  </si>
  <si>
    <t xml:space="preserve">SENS-049</t>
  </si>
  <si>
    <t xml:space="preserve">With the rapid growth of power systems measurements in terms of size and complexity, discovering statistical patterns for a large variety of real-world applications such as renewable energy prediction, demand response, energy disaggregation, and state estimation is considered a crucial challenge. In recent years, deep learning has emerged as a novel class of machine learning algorithms that represents power systems data via a large hypothesis space that leads to the state-of-the-art performance compared to most recent data-driven algorithms. This study explores the theoretical advantages of deep representation learning in power systems research. We review deep learning methodologies presented and applied in a wide range of supervised, unsupervised, and semi-supervised applications as well as reinforcement learning tasks. We discuss various settings of problems solved by discriminative deep models including stacked autoencoders and convolutional neural networks as well as generative deep architectures such as deep belief networks and variational autoencoders. The theoretical and experimental analysis of deep neural networks in this study motivates long- term research on optimizing this cutting-edge class of models to achieve significant improvements in the future power systems research.</t>
  </si>
  <si>
    <t xml:space="preserve">SENS-033</t>
  </si>
  <si>
    <t xml:space="preserve">Deep Neural Networks in Power Systems: A Review</t>
  </si>
  <si>
    <t xml:space="preserve">Khodayar, M; Regan, J</t>
  </si>
  <si>
    <t xml:space="preserve">10.3390/en16124773</t>
  </si>
  <si>
    <t xml:space="preserve">Identifying statistical trends for a wide range of practical power system applications, including sustainable energy forecasting, demand response, energy decomposition, and state estimation, is regarded as a significant task given the rapid expansion of power system measurements in terms of scale and complexity. In the last decade, deep learning has arisen as a new kind of artificial intelligence technique that expresses power grid datasets via an extensive hypothesis space, resulting in an outstanding performance in comparison with the majority of recent algorithms. This paper investigates the theoretical benefits of deep data representation in the study of power networks. We examine deep learning techniques described and deployed in a variety of supervised, unsupervised, and reinforcement learning scenarios. We explore different scenarios in which discriminative deep frameworks, such as Stacked Autoencoder networks and Convolution Networks, and generative deep architectures, including Deep Belief Networks and Variational Autoencoders, solve problems. This study's empirical and theoretical evaluation of deep learning encourages long-term studies on improving this modern category of methods to accomplish substantial advancements in the future of electrical systems.</t>
  </si>
  <si>
    <t xml:space="preserve">SENS-069</t>
  </si>
  <si>
    <t xml:space="preserve">SENS-015</t>
  </si>
  <si>
    <t xml:space="preserve">Deep Reinforcement Learning in multi-energy systems: A review</t>
  </si>
  <si>
    <t xml:space="preserve">Vaniar, AM; Karimi, A; Beglar, KS; Mansouri, M</t>
  </si>
  <si>
    <t xml:space="preserve">ENERGY CONVERSION AND MANAGEMENT-X</t>
  </si>
  <si>
    <t xml:space="preserve">10.1016/j.ecmx.2026.102184</t>
  </si>
  <si>
    <t xml:space="preserve">Multi-energy systems (MESs) are becoming harder to operate as decentralization, decarbonization, and digitalization increase uncertainty, coupling, and real-time control pressure. In this setting, Deep Reinforcement Learning (DRL) is attractive because it can learn adaptive policies from interaction data without requiring a fully specified plant model. This paper reviews DRL applications across device-level control, grid-level coordination, and higher-level multi-agent and hierarchical decision-making, including market-interaction settings. The synthesis rests on 78 studies retained from 93 articles assessed at full text, identified through a structured search of five bibliographic databases covering literature published from 2018 onwards and screened against predefined inclusion and exclusion criteria. The review traces how the field has moved from single-agent designs toward structured multi-agent and hierarchical formulations to handle hybrid action spaces and heterogeneous assets at scale. It also synthesizes practical trends, including safe RL, transfer learning, federated learning, and digital-twin-based validation. At the device-level, off-policy actor-critic methods (TD3, SAC) dominate continuous control of batteries, HVAC, and CHP units, whereas at the grid-level value-based methods prevail for discrete dispatch and voltage control, where constraint enforcement, rather than reward shaping alone, emerges as the key unresolved requirement. A central conclusion is that reported simulation gains are strong, but deployment readiness still depends on better safety guarantees, sample efficiency, interpretability, and benchmark standardization. Based on these findings, the paper outlines a research agenda aimed at closing the gap between algorithmic performance and dependable real-world MES operation.</t>
  </si>
  <si>
    <t xml:space="preserve">SENS-070</t>
  </si>
  <si>
    <t xml:space="preserve">Deep Reinforcement Learning in Power Distribution Systems: Overview, Challenges, and Opportunities</t>
  </si>
  <si>
    <t xml:space="preserve">Y. Gao; N. Yu</t>
  </si>
  <si>
    <t xml:space="preserve">2021 IEEE Power &amp; Energy Society Innovative Smart Grid Technologies Conference (ISGT)</t>
  </si>
  <si>
    <t xml:space="preserve">10.1109/isgt49243.2021.9372283</t>
  </si>
  <si>
    <t xml:space="preserve">To facilitate the integration of distributed energy resources and improve existing operational strategies, power distribution systems have seen a rapid proliferation of deep reinforcement learning (DRL) based applications. DRL approach is well suited for dynamic, complex, and uncertain operational environments such as power distribution systems. This paper reviews the rapidly growing body of literature that develops applications of reinforcement learning in power distribution systems. These applications include active grid management, energy management system, retail electricity market, and demand response. This paper also summarizes the challenges of deploying DRL based solutions in distribution systems such as safety, robustness, interpretability, and sample efficiency. Finally, the research opportunities that can be pursued to address the challenges are provided.</t>
  </si>
  <si>
    <t xml:space="preserve">SENS-024</t>
  </si>
  <si>
    <t xml:space="preserve">Demand response with incomplete information: A systematic review</t>
  </si>
  <si>
    <t xml:space="preserve">Huang, LD; Liu, H; Liu, B; Ma, SY; Wang, N; Xie, HM; He, ZH</t>
  </si>
  <si>
    <t xml:space="preserve">ELECTRIC POWER SYSTEMS RESEARCH</t>
  </si>
  <si>
    <t xml:space="preserve">10.1016/j.epsr.2025.111720</t>
  </si>
  <si>
    <t xml:space="preserve">Demand response (DR), as an effective approach to maintaining supply-demand balance, has attracted widespread attentions. However, due to the data acquisition limitation, the communication failure and the privacy protection, the incomplete information problem in DR widely exists, which will reduce the response efficiency and profit. To cope with this issue, many approaches are proposed, including the regression method, reinforcement learning (RL) and distributed algorithm. This paper presents an overview of DR with incomplete information issues according to a systematic review of over 150 papers and 11 countries. First, the DR is characterized into price based demand response (PBDR), incentive based demand response (IBDR), integrated demand response (IDR) and multi-region DR. At the same time, the source and type of the incomplete information in different DRs are analyzed. Furthermore, the commonly used methods for the incomplete information are categorized, in which their application, advantage and disadvantage are discussed. Finally, key challenges are summarized and future research directions are presented including the operational parameters estimation of household devices, the environment effect on customer response willingness and the robust regression method.</t>
  </si>
  <si>
    <t xml:space="preserve">SENS-061</t>
  </si>
  <si>
    <t xml:space="preserve">SD A</t>
  </si>
  <si>
    <t xml:space="preserve">Distributed control and optimization in building energy systems: a technical survey of multi-agent architectures and algorithms</t>
  </si>
  <si>
    <t xml:space="preserve">Abdalla, Ahmed N.; Ji, Rendong; Awad, Omar I.; Wang, Ancheng; Tang, Yongfeng; Liu, Yao; Mahdi, Mahdi A.</t>
  </si>
  <si>
    <t xml:space="preserve">10.1016/j.enbuild.2025.116644</t>
  </si>
  <si>
    <t xml:space="preserve">ScienceDirect_citations_1788180573805_searchA.ris</t>
  </si>
  <si>
    <t xml:space="preserve">The increasing complexity of building energy systems, driven by the integration of renewable energy, dynamic occupant behavior, and interactive demand-side management, necessitates the adoption of more flexible and intelligent control strategies. Multi-Agent Systems (MAS) offer a decentralized, autonomous, and scalable approach to managing such complexity. This review provides a comprehensive survey of recent advancements in MAS-based distributed control and optimization for building energy and environmental management. We systematically categorize agent architectures, communication protocols, and coordination mechanisms used in smart building applications. A comparative analysis of optimization algorithms ranging from market-based coordination and consensus-based negotiation to distributed reinforcement learning is presented with respect to their computational performance, scalability, and convergence properties. The review further classifies MAS applications across four primary layers: equipment-level control, single-building energy-environment optimization, building-to-grid interaction, and building cluster coordination. Key challenges including temporal-spatial optimization, real-time learning, uncertainty handling, and system stability are discussed. This paper concludes with recommendations for future research to bridge theoretical advancements with large-scale engineering deployments of MAS in smart and low-carbon buildings.</t>
  </si>
  <si>
    <t xml:space="preserve">SENS-027</t>
  </si>
  <si>
    <t xml:space="preserve">Distributed Peer-to-Peer Optimization Based on Robust Reinforcement Learning with Demand Response: A Review</t>
  </si>
  <si>
    <t xml:space="preserve">Martínez, A; Arévalo, P</t>
  </si>
  <si>
    <t xml:space="preserve">COMPUTERS</t>
  </si>
  <si>
    <t xml:space="preserve">10.3390/computers14020065</t>
  </si>
  <si>
    <t xml:space="preserve">The increasing adoption of renewable energy resources and the growing need for efficient and adaptable energy management have emphasized the importance of innovative solutions for energy sharing and storage. This study aims to analyze the application of advanced optimization techniques in decentralized energy systems, focusing on strategies that improve energy distribution, adaptability, and reliability. This research employs a comprehensive review methodology, examining reinforcement learning approaches, demand response mechanisms, and the integration of battery energy storage systems to enhance the flexibility and scalability of P2P energy markets. The main findings highlight significant advancements in robust decision-making frameworks, the management of energy storage systems, and real-time optimization for decentralized trading. Additionally, this study identifies key technical and regulatory challenges, such as computational complexity, market uncertainty, and the lack of standardized legal frameworks, while proposing pathways to address them through intelligent energy management and collaborative solutions. The originality of this work lies in its structured analysis of emerging energy trading models, providing valuable insights into the future design of decentralized energy systems that are efficient, sustainable, and resilient.</t>
  </si>
  <si>
    <t xml:space="preserve">SENS-085</t>
  </si>
  <si>
    <t xml:space="preserve">Economic Impacts and Mitigation for the Grid Connected Electric Vehicle Charging: A Technical and Operational Overview</t>
  </si>
  <si>
    <t xml:space="preserve">O. E. Ikhajangbe; H. Dhulipati; S. Liu</t>
  </si>
  <si>
    <t xml:space="preserve">10.1109/access.2026.3684508</t>
  </si>
  <si>
    <t xml:space="preserve">The rapid growth of residential electric vehicle (EV) adoption is reshaping distribution networks, shifting load patterns from relatively dispersed background demand to synchronized, high-amplitude charging events. When charging is unmanaged, these concentrated loads can exceed thermal and voltage limits, accelerate transformer aging, intensify harmonic stress, and prompt costly infrastructure upgrades. Unlike prior reviews that examine technical, economic, and coordination aspects separately, this paper brings them together within an integrated technical–economic analytical review that considers thermal limits, voltage security, and battery state-of-charge constraints simultaneously. Transformer loss-of-life, harmonic–thermal interactions, peak amplification, and renewable–EV timing mismatch are quantitatively analyzed alongside infrastructure deferral benefits and ancillary-service revenues. Economic performance is evaluated by balancing upgrade deferral, V2G revenue, battery degradation costs, and coordination overhead. A comparative assessment of ARIMA, LSTM, and reinforcement learning methods highlights practical trade-offs between forecasting accuracy and computational scalability under evolving charging behavior. Evidence from field pilots reports 10–30% peak reduction, 20–65% charging cost savings, and 100–500 per EV-year gross V2G revenue, depending on market structure and incentives. Overall, this review provides an integrated analytical foundation to support resilient and economically efficient EV–grid integration under high-penetration conditions.</t>
  </si>
  <si>
    <t xml:space="preserve">SENS-060</t>
  </si>
  <si>
    <t xml:space="preserve">Energy modelling and control of building heating and cooling systems with data-driven and hybrid models-A review</t>
  </si>
  <si>
    <t xml:space="preserve">Balali, Y; Chong, A; Busch, A; O'Keefe, S</t>
  </si>
  <si>
    <t xml:space="preserve">Implementing an efficient control strategy for heating, ventilation, and air conditioning (HVAC) systems can lead to improvements in both energy efficiency and thermal performance in buildings. As HVAC systems and buildings are complicated dynamic systems, the effectiveness of both data-driven and model-based control methods has been widely investigated by researchers. However, the main challenges that impede the practical application of model-based methods in real buildings are their reliance on the precision of control-oriented models and the dependence of data-based systems on the quantity and quality of input-output data. The objectives of this study are: (1) To present an overview of the prevalent thermal modelling strategies used as control-oriented models or virtual environments in model-based and data-based control methods, addressing the main requirements of thermal models; (2) the state-of-the-art of MPC and RL control techniques; (3) the data requirements for thermal models. The findings emphasise the need for unified guidelines to validate and verify the proposed control methods, ensuring their practical implementation in real buildings. Moreover, the inclusion of occupancy forecasts in models presents challenges due to the intricate nature of accurately predicting human behaviour, occupancy patterns, and their effects on thermal dynamics. Balancing thermal comfort and energy efficiency in HVAC systems with a supervisory controller remains a difficult task, but combining data-driven and physics-based models can help overcome challenges. Further research is needed to compare the effectiveness of MPC and RL approaches, and accurately measuring the impact of human behaviour and occupancy remains a significant obstacle.</t>
  </si>
  <si>
    <t xml:space="preserve">SENS-019</t>
  </si>
  <si>
    <t xml:space="preserve">EV-Centric Technical Virtual Power Plants in Active Distribution Networks: An Integrative Review of Physical Constraints, Bidding, and Control</t>
  </si>
  <si>
    <t xml:space="preserve">Zheng, YZ; Zhang, HR; Liu, AJ; Li, Y; Hao, SQ; Miao, Y; Han, C; Liao, SY</t>
  </si>
  <si>
    <t xml:space="preserve">10.3390/en19081945</t>
  </si>
  <si>
    <t xml:space="preserve">The accelerated low-carbon transition of power systems and the widespread integration of Electric Vehicles (EVs) present both severe operational challenges and substantial flexible regulation potential for Active Distribution Networks (ADNs). This paper provides an integrative review of the coordinated control and multi-market bidding mechanisms for EV-centric Technical Virtual Power Plants (TVPPs). Moving beyond descriptive surveys, this review systematically synthesizes the fragmented literature across three critical dimensions: (1) the physical-economic bidirectional mapping, which considers nonlinear power flow constraints and node voltage limits within the TVPP framework; (2) multi-market coupling mechanisms, evolving from unilateral energy bidding to coordinated participation in carbon trading and ancillary services; and (3) real-time control strategies, critically evaluating the trade-offs between optimization techniques (e.g., Model Predictive Control) and cutting-edge artificial intelligence approaches (e.g., Deep Reinforcement Learning) in mitigating battery degradation. Furthermore, a transparent review methodology is adopted to ensure literature rigor. By explicitly outlining the boundaries between TVPPs, Commercial VPPs (CVPPs), and EV aggregators, this paper identifies core unresolved trade-offs among aggregation fidelity, market complexity, and communication latency, providing evidence-backed pathways for future engineering demonstrations and V2G applications.</t>
  </si>
  <si>
    <t xml:space="preserve">SENS-005</t>
  </si>
  <si>
    <t xml:space="preserve">Exploiting Battery Storages With Reinforcement Learning: A Review for Energy Professionals</t>
  </si>
  <si>
    <t xml:space="preserve">Subramanya, R; Sierla, SA; Vyatkin, V</t>
  </si>
  <si>
    <t xml:space="preserve">10.1109/access.2022.3176446</t>
  </si>
  <si>
    <t xml:space="preserve">Building control is one application among grids, vehicles, IoT, communities, and microgrids</t>
  </si>
  <si>
    <t xml:space="preserve">Contextual sensitivity record</t>
  </si>
  <si>
    <t xml:space="preserve">The transition to renewable production and smart grids is driving a massive investment to battery storages, and reinforcement learning (RL) has recently emerged as a potentially disruptive technology for their control and optimization of battery storage systems. A surge of papers has appeared in the last two years applying reinforcement learning to the optimization of battery storages in buildings, energy communities, energy harvesting Internet of Things networks, renewable generation, microgrids, electric vehicles and plug-in hybrid electric vehicles. This article reviews these applications through 4 different perspectives. Firstly, the type of optimization problem is analyzed; the literature can be divided to approaches that optimize either financial targets or energy efficiency. Secondly, the approaches for handling user comfort are analyzed for applications that may impact a human user. Thirdly, this paper discusses the approach to model and reduce battery degradation. Fourthly, the articles are categorized by application context and applications likely to attract a high amount of research are identified. The paper concludes with a list of unresolved challenges.</t>
  </si>
  <si>
    <t xml:space="preserve">SENS-063</t>
  </si>
  <si>
    <t xml:space="preserve">Exploring the role of Energy Communities: A Comprehensive Review</t>
  </si>
  <si>
    <t xml:space="preserve">Amin, M. Asim; Procopio, Renato; Invernizzi, Marco; Bonfiglio, Andrea; Jia, Youwei</t>
  </si>
  <si>
    <t xml:space="preserve">Energy Conversion and Management: X</t>
  </si>
  <si>
    <t xml:space="preserve">10.1016/j.ecmx.2025.100883</t>
  </si>
  <si>
    <t xml:space="preserve">The Energy Communities (EC) framework facilitates the active engagement of energy entities. It brings about a fundamental shift in the energy sector by effectively managing Distributed Energy Resources (DERs) and advancing a decentralized energy system. The implementation of this technology allows the electrification of rural or mountainous regions by addressing the obstacles associated with power grid maintenance through substantial restructuring of the underlying energy distribution framework. The present review aimed to investigate and examine the significance of EC structures and to start an inclusive foundation for the broader implementation of EC for energy decentralization to figure out the research gaps and ensure that Machine Learning (ML) based solutions are essential tools to study and further discussed the several ML-based algorithms based on their objectives. Moreover, a comprehensive literature review is conducted to compare the possible strategies and tools that could be implemented in EC. Furthermore, different solution tools are organized based on their advantages, such as Demand Response (DR), forecasting, and load management goals. Hence, it can be inferred that Reinforcement Learning (RL) methodologies exhibit considerable potential in the control field. In contrast, supervised and unsupervised approaches are essential in predicting tasks. Based on the existing knowledge, the present study can conclude that ML-based solution methods are of significant importance for developing an effective energy decentralization platform.</t>
  </si>
  <si>
    <t xml:space="preserve">SENS-062</t>
  </si>
  <si>
    <t xml:space="preserve">Flexibility of building virtual energy storage: a systematic quantitative review of modeling and controlling heating and cooling systems</t>
  </si>
  <si>
    <t xml:space="preserve">Xu, Wenya; Ruan, Yingjun; Wu, Zhifu; Xu, Tingting; Yao, Yuting; Meng, Hua; Wang, Chaoliang; Liu, Wei; Xia, Yueqiu</t>
  </si>
  <si>
    <t xml:space="preserve">10.1016/j.apenergy.2026.128047</t>
  </si>
  <si>
    <t xml:space="preserve">Rapid urbanization and building electrification have made building heating and cooling a major contributor to electricity demand and peak load. Virtual energy storage (VES), enabled by building thermal inertia and heating and cooling operation, offers a low-cost option for load shifting and demand response; however, its flexibility remains difficult to quantify with reported performance strongly influenced by modeling assumptions, operating conditions, and control strategies. The flexibility of VES is closely tied to the operation of building heating and cooling systems, and inconsistent characterization of VES has limited the comparability of existing studies and the scalability of control strategies. Developing efficient operational strategies can enhance both energy efficiency and thermal performance in buildings. This paper conducts a systematic quantitative review of optimization and control for VES-integrated building heating and cooling systems, explicitly covering both demand-side and supply-side operation. A structured literature search identifies 124 closely related studies for in-depth analysis. We classify VES modeling approaches into physics-integrated and pure data-driven methods, and compare three categories of control strategies: traditional control, model predictive control, and model-free control (including reinforcement learning). The reviewed studies show that exploiting VES can enable notable peak shaving (up to 62%) and increase renewable energy utilization (up to 93%), while the effective VES capacity may vary by as much as a factor of two under different factors. Finally, a systematic quantitative framework is synthesized to support standardized evaluation of VES flexibility and to facilitate more consistent comparison of modeling and control strategies in building heating and cooling systems.</t>
  </si>
  <si>
    <t xml:space="preserve">SENS-066</t>
  </si>
  <si>
    <t xml:space="preserve">Impacts of digitalization on smart grids, renewable energy, and demand response: An updated review of current applications</t>
  </si>
  <si>
    <t xml:space="preserve">Mahmood, Mou; Chowdhury, Prangon; Yeassin, Rahbaar; Hasan, Mahmudul; Ahmad, Tanvir; Chowdhury, Nahid-Ur-Rahman</t>
  </si>
  <si>
    <t xml:space="preserve">10.1016/j.ecmx.2024.100790</t>
  </si>
  <si>
    <t xml:space="preserve">Decarbonization, decentralization, and digitalization are essential for advanced energy systems (AES), which encompass smart grids, renewable energy integration, and demand response initiatives. Digitalization is a significant trend that transforms societal, economic, and environmental processes globally. This shift moves us from traditional power grids to decentralized, intelligent networks that enhance efficiency, reliability, and sustainability. By integrating data and connectivity, these technologies optimize energy production, distribution, and consumption. This article presents a comprehensive literature review of four closely related emerging technologies: Artificial Intelligence (AI), Internet of Things (IoT), Blockchain, and Digital Twin (DT) in AES. Our findings from the previous works indicate that AI significantly improves Demand Response strategies by enhancing the prediction, optimization, and management of energy consumption. Techniques like linear regression effectively predict power demand and aggregated loads, while more complex methods such as Support Vector Regression (SVR) and reinforcement learning (RL) optimize appliance scheduling and load forecasting. The integration of IoT technologies into Energy Management Systems (EMS) further enhances efficiency and sustainability through real-time monitoring and automated control. Additionally, DT technology aids in simulating energy scenarios and optimizing consumption in both residential and commercial smart grids. Our findings also emphasize blockchain’s role in creating decentralized energy trading platforms, facilitating peer-to-peer transactions, and enhancing trust through smart contracts. The insights gained from this review highlight the essential role of these emerging technologies in supporting decentralized, intelligent energy networks, offering valuable strategies for stakeholders to navigate the complexities of the evolving digital energy landscape.</t>
  </si>
  <si>
    <t xml:space="preserve">SENS-029</t>
  </si>
  <si>
    <t xml:space="preserve">Machine learning applied on the district heating and cooling sector: a review</t>
  </si>
  <si>
    <t xml:space="preserve">Ntakolia, C; Anagnostis, A; Moustakidis, S; Karcanias, N</t>
  </si>
  <si>
    <t xml:space="preserve">ENERGY SYSTEMS-OPTIMIZATION MODELING SIMULATION AND ECONOMIC ASPECTS</t>
  </si>
  <si>
    <t xml:space="preserve">10.1007/s12667-020-00405-9</t>
  </si>
  <si>
    <t xml:space="preserve">Driven by the continuous growing demand for heating and cooling, district heating and cooling systems (DHC) play a major role in the field of energy by providing environmentally friendly solutions for citizens with significant economic impact. Taken also into account the global need for greener and smarter cities, optimization and automation of current DHC operation is more imminent than ever. In order to achieve a transformation of DHC systems, new data-driven technologies are being adopted to reach the goals. In this paper the findings of a systematic literature review are presented covering articles published in the last decades in which the authors described the development and application of machine learning approaches to the DHC sector. In total, 74 articles were retrieved, analysed and categorized into two main categories: (i) heating load/demand prediction and (ii) design, maintenance and scheduling. The survey findings are presented and listed in terms of the machine learning techniques mentioned therein (supervised learning, unsupervised learning and reinforcement learning), the specific application domain (load forecast, design, maintenance and scheduling) of each article providing also insights regarding the source data used and the quality of the results.</t>
  </si>
  <si>
    <t xml:space="preserve">SENS-011</t>
  </si>
  <si>
    <t xml:space="preserve">Machine learning for district heating and cooling: A review of open problems and deployment barriers</t>
  </si>
  <si>
    <t xml:space="preserve">Rinchi, B; Al-Dahidi, S; Alrbai, M; Ayadi, O</t>
  </si>
  <si>
    <t xml:space="preserve">10.1016/j.enbuild.2026.117878</t>
  </si>
  <si>
    <t xml:space="preserve">District heating and cooling (DHC) systems are central to urban decarbonization, yet they present machine learning (ML) challenges distinct from other energy domains. Thermal inertia creates multi-hour prediction delays, pipe networks impose graph-structured hydraulic coupling, seasonal demand varies by orders of magnitude, and safety-critical operation demands guarantees most data-driven methods cannot provide. This review analyzes seven open problems the field must resolve for real-world impact. For load forecasting, feature engineering consistently outweighs architectural innovation, ensemble methods match deep learning for sub-day horizons at far lower cost, and transformers demonstrate superiority only beyond 48 hours. For control, MPC improvements range from 5% to 75% depending on untapped flexibility, while deep reinforcement learning excels in hybrid discrete-continuous action spaces under forecast uncertainty. For fault detection, labeled data scarcity is the fundamental bottleneck. Supervised methods achieve 95-99% accuracy, but synthetic data generation remains insufficient for practical use. The most critical structural finding is the underrepresentation of district cooling despite fundamentally different physics (nonlinear chiller thermodynamics, phase-change storage, solar-driven demand) requiring purpose-built ML approaches. Few studies validate their methods through field deployment, revealing a persistent gap between algorithmic innovation and operational impact. A research roadmap poses 13 specific questions the field must answer.</t>
  </si>
  <si>
    <t xml:space="preserve">SENS-007</t>
  </si>
  <si>
    <t xml:space="preserve">Machine Learning for Energy Management in Buildings: A Systematic Review on Real-World Applications</t>
  </si>
  <si>
    <t xml:space="preserve">Michailidis, P; Minelli, F; Michailidis, I; Kurucan, M; Coban, HH; Kosmatopoulos, E</t>
  </si>
  <si>
    <t xml:space="preserve">10.3390/en19010219</t>
  </si>
  <si>
    <t xml:space="preserve">Machine learning (ML) is becoming a key enabler in building energy management systems (BEMS), yet most existing reviews focus on simulations and fail to reflect the realities of real-world deployment. In response to this limitation, the present work aims to present a systematic review dedicated entirely to experimental, field-tested applications of ML in BEMS, covering systems such as Heating, Ventilation &amp; Air-conditioning (HVAC), Renewable Energy Systems (RES), Energy Storage Systems (ESS), Ground Heat Pumps (GHP), Domestic Hot Water (DHW), Electric Vehicle Charging (EVCS), and Lighting Systems (LS). A total of 73 real-world deployments are analyzed, featuring techniques like Model Predictive Control (MPC), Artificial Neural Networks (ANNs), Reinforcement Learning (RL), Fuzzy Logic Control (FLC), metaheuristics, and hybrid approaches. In order to cover both methodological and practical aspects, and properly identify trends and potential challenges in the field, current review uses a unified framework: On the methodological side, it examines key-attributes such as algorithm design, agent architectures, data requirements, baselines, and performance metrics. From a practical standpoint, the study focuses on building typologies, deployment architectures, zones scalability, climate, location, and experimental duration. In this context, the current effort offers a holistic overview of the scientific landscape, outlining key trends and challenges in real-world machine learning applications for BEMS research. By focusing exclusively on real-world implementations, this study offers an evidence-based understanding of the strengths, limitations, and future potential of ML in building energy control-providing actionable insights for researchers, practitioners, and policymakers working toward smarter, grid-responsive buildings. Findings reveal a maturing field with clear trends: MPC remains the most deployment-ready, ANNs provide efficient forecasting capabilities, RL is gaining traction through safer offline-online learning strategies, FLC offers simplicity and interpretability, and hybrid methods show strong performance in multi-energy setups.</t>
  </si>
  <si>
    <t xml:space="preserve">SENS-038</t>
  </si>
  <si>
    <t xml:space="preserve">Machine Learning for Leakage Diagnosis in Building Pipe Networks: A Review</t>
  </si>
  <si>
    <t xml:space="preserve">Chang, MY; Qin, HS; Li, ZW</t>
  </si>
  <si>
    <t xml:space="preserve">10.3390/buildings16101855</t>
  </si>
  <si>
    <t xml:space="preserve">Pipe networks are essential components of modern building infrastructure, including heating, ventilation, and air conditioning (HVAC) water systems, water distribution networks (WDNs), and district heating and cooling (DHC) systems. Leakage in these systems can lead to increased energy consumption, loss of thermal efficiency, and unstable system operation, thereby affecting indoor environmental quality and overall building performance. Despite differences in scale and application, similar leakage mechanisms are also observed in other pipe network systems, such as oil and gas pipelines and liquid cooling networks. These shared characteristics motivate a unified analytical perspective across different applications. This review provides a systematic analysis of leakage diagnosis methods, with a focus on machine learning (ML) approaches. The results indicate that ML methods have become a dominant research direction due to their ability to capture nonlinear relationships and process high-dimensional data. However, their effectiveness is often constrained by the limited availability of labeled leakage data, sensitivity to dynamic operating conditions, and insufficient physical interpretability. This review provides a structured framework for understanding ML-based leakage diagnosis and offers insights into the integration of data-driven and physics-based approaches for pipe network systems. In addition, the potential role of reinforcement learning (RL) is briefly discussed as an emerging direction for handling dynamic and adaptive scenarios. Compared with ML-based methods, RL has not yet been systematically explored in leakage diagnosis and remains at an early stage of development. This review synthesizes current methodologies, identifies key challenges, and outlines future research directions.</t>
  </si>
  <si>
    <t xml:space="preserve">SENS-042</t>
  </si>
  <si>
    <t xml:space="preserve">Huynh, TNY; Nguyen, AT; Ahn, Y; Oo, BL; Lim, BTH</t>
  </si>
  <si>
    <t xml:space="preserve">SENS-001</t>
  </si>
  <si>
    <t xml:space="preserve">Multi-Agent Reinforcement Learning for Demand Response in Grid-Responsive Buildings and Prosumer Communities: A PRISMA-Guided Systematic Review</t>
  </si>
  <si>
    <t xml:space="preserve">Sajid, S; Li, B; Qi, B; Liang, F; Lei, Y; Muqtadir, A</t>
  </si>
  <si>
    <t xml:space="preserve">10.3390/en19092170</t>
  </si>
  <si>
    <t xml:space="preserve">Mixed multi-sector scope; only 26 of 70 studies concern building clusters</t>
  </si>
  <si>
    <t xml:space="preserve">Full-text scope reassessment; retained as contextual sensitivity evidence only</t>
  </si>
  <si>
    <t xml:space="preserve">Demand response is shifting towards continuous coordination of flexible demand, storage, and distributed generation across buildings and prosumer communities. Multi-agent reinforcement learning has gained attention because it can support decentralized execution under partial observability while still learning coordinated behavior through centralized training. This systematic review follows PRISMA 2020 guidance and synthesizes n = 70 peer-reviewed studies published in the 2021 to 2025 window, covering building clusters, grid-aware district coordination, program-level aggregation, industrial demand response, and transactive energy mechanisms. The results show that the dominant evaluation context is grid-responsive building clusters, with growing reliance on benchmark environments that standardize interfaces and encourage reproducible multi-KPI reporting. Across the methods, centralized training with decentralized execution is the prevailing pattern, often combined with attention-based critics or value factorization to handle heterogeneity and global rewards. Reward design and constraint handling emerge as primary determinants of stability, since objectives mix cost, peak, ramp, comfort, and emissions, while rebound and synchronized behavior are recurring risks. A descriptive and cross-variable quantitative synthesis is also provided, showing that publication activity increased from three studies (4.3%) in 2021 to 28 studies (40.0%) in 2025, with the strongest concentration in 2024-2025. Quantitatively, grid-responsive building clusters accounted for 26 of 70 studies (37.1%), actor-critic methods for 24 studies (34.3%), CityLearn for 16 studies (22.9%), and cost-based evaluation was reported in 64 studies (91.4%), whereas robustness testing appeared in only 16 studies (22.9%). Across the reviewed studies, peak reduction was reported in 55 (78.6%) studies, whereas robustness testing appeared in only 16 studies (22.9%) and transferability or deployment realism in 11 (15.7%), indicating that evaluation remains much stronger for operational performance than for real-world generalization.</t>
  </si>
  <si>
    <t xml:space="preserve">SENS-040</t>
  </si>
  <si>
    <t xml:space="preserve">Novel Artificial Intelligence Applications in Energy: A Systematic Review</t>
  </si>
  <si>
    <t xml:space="preserve">Zhang, T; Strbac, G</t>
  </si>
  <si>
    <t xml:space="preserve">10.3390/en18143747</t>
  </si>
  <si>
    <t xml:space="preserve">This systematic review examines state-of-the-art artificial intelligence applications in energy systems, assessing their performance, real-world deployments and transformative potential. Guided by PRISMA 2020, we searched Web of Science, IEEE Xplore, ScienceDirect, SpringerLink, and Google Scholar for English-language studies published between January 2015 and January 2025 that reported novel AI uses in energy, empirical results, or significant theoretical advances and passed peer review. After title-abstract screening and full-text assessment, it was determined that 129 of 3000 records met the inclusion criteria. The methodological quality, reproducibility and real-world validation were appraised, and the findings were synthesised narratively around four critical themes: reinforcement learning (35 studies), multi-agent systems (28), planning under uncertainty (25), and AI for resilience (22), with a further 19 studies covering other areas. Notable outcomes include DeepMind-based reinforcement learning cutting data centre cooling energy by 40%, multi-agent control boosting virtual power plant revenue by 28%, AI-enhanced planning slashing the computation time by 87% without sacrificing solution quality, battery management AI raising efficiency by 30%, and machine learning accelerating hydrogen catalyst discovery 200,000-fold. Across domains, AI consistently outperformed traditional techniques. The review is limited by its English-only scope, potential under-representation of proprietary industrial work, and the inevitable lag between rapid AI advances and peer-reviewed publication. Overall, the evidence positions AI as a pivotal enabler of cleaner, more reliable, and efficient energy systems, though progress will depend on data quality, computational resources, legacy system integration, equity considerations, and interdisciplinary collaboration. No formal review protocol was registered because this study is a comprehensive state-of-the-art assessment rather than a clinical intervention analysis.</t>
  </si>
  <si>
    <t xml:space="preserve">SENS-073</t>
  </si>
  <si>
    <t xml:space="preserve">Operation Orchestration of Local Energy Communities through Digital Twin: A Review on suitable Modeling and Simulation Approaches</t>
  </si>
  <si>
    <t xml:space="preserve">T. -A. Nguyen-Huu; T. T. Tran; M. -Q. Tran; P. H. Nguyen; J. Slootweg</t>
  </si>
  <si>
    <t xml:space="preserve">2022 IEEE 7th International Energy Conference (ENERGYCON)</t>
  </si>
  <si>
    <t xml:space="preserve">10.1109/energycon53164.2022.9830264</t>
  </si>
  <si>
    <t xml:space="preserve">Increasing the integration of distributed energy resources (DERs) requires an orchestration of the existing centralized management system used for the electricity grid and the emerging distributed ones for local energy communities (LEC). To support this orchestration, design and operation strategies of LECs needs to be analysed, based on a so-called Digital Twin (DT) platform with suitable modeling and simulation techniques. This paper presents a set of requirements needed to develop DT, thus enabling operation orchestration of LECs. Based on these specific requirements, a comprehensive review on the relevant physics-based and data-driven models will be discussed, especially focusing on the flexibility profile of LEC based on data-driven model to support the balancing reserves to the electricity grid.</t>
  </si>
  <si>
    <t xml:space="preserve">SENS-065</t>
  </si>
  <si>
    <t xml:space="preserve">Optimization of energy grid efficiency with machine learning: A comprehensive review of challenges and opportunities</t>
  </si>
  <si>
    <t xml:space="preserve">Fasogbon, Samson Kolawole; Fetuga, Ibrahim Ademola; Oyeniran, Ayodele Temitope; Shaibu, Samuel Adavize; Afolabi, Samuel; Ndokwu, Tochukwu Anthony; Oluwadare, Seyi Rufus; Onafowokan, John Temitope; Eso, Opeyemi Samuel; Bassey, Victor Blessed</t>
  </si>
  <si>
    <t xml:space="preserve">10.1016/j.rser.2025.115980</t>
  </si>
  <si>
    <t xml:space="preserve">Ensuring a sustainable and efficient energy future depends critically on optimizing the electricity grid. Energy grid optimization can be enhanced by machine learning methods that forecast energy needs and supply, optimize energy production and distribution, and identify and stop fraud. Still, there are a number of difficulties in applying machine learning to energy grid optimization. These cover the interpretability and explainability of machine learning models, the ethical and social ramifications of applying machine learning, the absence of standardized datasets and data quality problems, and the integration with the current energy infrastructure and regulatory frameworks. Realizing that attaining a sustainable and efficient energy future requires ongoing research and advancements in machine learning applications for the energy industry. Therefore, this work analyzed the literature already in publication to identify the potential and problems related to machine learning in energy grid optimization and to emphasize the need for ongoing research and development in this area. The paper discovered that developments in machine learning algorithms and techniques, the creation of new datasets and data collecting techniques, and integration of machine learning with other emerging technologies present opportunities for future study in machine learning or energy grid optimization. It also made clear how public-private collaborations and cooperative research are needed.</t>
  </si>
  <si>
    <t xml:space="preserve">SENS-054</t>
  </si>
  <si>
    <t xml:space="preserve">Optimizing renewable energy systems through artificial intelligence: Review and future prospects</t>
  </si>
  <si>
    <t xml:space="preserve">Ukoba, K; Olatunji, KO; Adeoye, E; Jen, TC; Madyira, DM</t>
  </si>
  <si>
    <t xml:space="preserve">ENERGY &amp; ENVIRONMENT</t>
  </si>
  <si>
    <t xml:space="preserve">10.1177/0958305x241256293</t>
  </si>
  <si>
    <t xml:space="preserve">The global transition toward sustainable energy sources has prompted a surge in the integration of renewable energy systems (RES) into existing power grids. To improve the efficiency, reliability, and economic viability of these systems, the synergistic application of artificial intelligence (AI) methods has emerged as a promising avenue. This study presents a comprehensive review of the current state of research at the intersection of renewable energy and AI, highlighting key methodologies, challenges, and achievements. It covers a spectrum of AI utilizations in optimizing different facets of RES, including resource assessment, energy forecasting, system monitoring, control strategies, and grid integration. Machine learning algorithms, neural networks, and optimization techniques are explored for their role in complex data sets, enhancing predictive capabilities, and dynamically adapting RES. Furthermore, the study discusses the challenges faced in the implementation of AI in RES, such as data variability, model interpretability, and real-time adaptability. The potential benefits of overcoming these challenges include increased energy yield, reduced operational costs, and improved grid stability. The review concludes with an exploration of prospects and emerging trends in the field. Anticipated advancements in AI, such as explainable AI, reinforcement learning, and edge computing, are discussed in the context of their potential impact on optimizing RES. Additionally, the paper envisions the integration of AI-driven solutions into smart grids, decentralized energy systems, and the development of autonomous energy management systems. This investigation provides important insights into the current landscape of AI applications in RES.</t>
  </si>
  <si>
    <t xml:space="preserve">SENS-055</t>
  </si>
  <si>
    <t xml:space="preserve">Recent advances in artificial intelligence-based optimization for power system applications: A review of techniques, challenges, and future directions</t>
  </si>
  <si>
    <t xml:space="preserve">Krishnamurthy, S; Adewuyi, OB; Salimon, SA</t>
  </si>
  <si>
    <t xml:space="preserve">10.1016/j.rser.2025.116340</t>
  </si>
  <si>
    <t xml:space="preserve">The growing complexity of modern power systems, driven by the integration of renewable energy sources, distributed generation, and smart grid technologies, poses significant challenges to ensuring efficient and reliable operation. Traditional optimization methods often fall short in addressing the dynamic, nonlinear, and uncertain nature of present-day power system variables. This review article explores the application of Artificial Intelligence (AI)-based optimization techniques as promising solutions to enhance power system performance, stability, and flexibility. The study begins with an overview of traditional power system optimization problems and solution approaches, including economic load dispatch, optimal power flow, unit commitment, demand response, fault diagnosis, and the integration of renewable energy. It examines the classical optimization methods and their limitations, as well as the intricacies of metaheuristic techniques. The core of this review paper focuses on the application of contemporary artificial intelligence techniques, highlighting their strengths, use cases, comparative effectiveness, and discussing the implementation challenges that arise. By analyzing recent literature, tools, and real-world applications, the review identifies critical trends and challenges and provides recommendations for future work. This review task highlights the potential of AIto support resilient, adaptive, and sustainable power systems in the era of energy transition.</t>
  </si>
  <si>
    <t xml:space="preserve">SENS-023</t>
  </si>
  <si>
    <t xml:space="preserve">Vázquez-Canteli, JR; Nagy, Z</t>
  </si>
  <si>
    <t xml:space="preserve">SENS-043</t>
  </si>
  <si>
    <t xml:space="preserve">Michailidis, P; Michailidis, I; Kosmatopoulos, E</t>
  </si>
  <si>
    <t xml:space="preserve">Pre-existing corpus item located through supplementary searching</t>
  </si>
  <si>
    <t xml:space="preserve">Not a new sensitivity-search inclusion; provenance corrected</t>
  </si>
  <si>
    <t xml:space="preserve">The integration of renewable energy systems into modern buildings is essential for enhancing energy efficiency, reducing carbon footprints, and advancing intelligent energy management. However, optimizing RES operations within building energy management systems introduces significant complexity, requiring advanced control strategies. One significant branch of modern control algorithms concerns reinforcement learning, a data-driven strategy capable of dynamically managing renewable energy sources and other energy subsystems under uncertainty and real-time constraints. The current review systematically examines RL-based control strategies applied in BEMS frameworks integrating RES technologies between 2015 and 2025, classifying them by algorithmic approach and evaluating the role of multi-agent and hybrid methods in improving real-time adaptability and occupant comfort. Following a thorough explanation of a rigorous selection process-which targeted the most impactful peer-reviewed publications from the last decade, the paper presents the mathematical concepts of RL and multi-agent RL, along with detailed summaries and summary tables of the integrated works to facilitate quick reference to key findings. For evaluation, the paper examines and outlines the different attributes in the field considering the following: methodologies of RL; agent types; value-action networks; reward functions; baseline control approaches; RES types; BEMS types; and building typologies. Grounded on the findings presented in the evaluation section, the paper offers a structured synthesis of emerging research trends and future directions, identifying the strengths and limitations of RL in energy management.</t>
  </si>
  <si>
    <t xml:space="preserve">SENS-032</t>
  </si>
  <si>
    <t xml:space="preserve">Reinforcement learning in deregulated energy market: A comprehensive review</t>
  </si>
  <si>
    <t xml:space="preserve">Zhu, ZQ; Hu, Z; Chan, KW; Bu, SQ; Zhou, B; Xia, SW</t>
  </si>
  <si>
    <t xml:space="preserve">10.1016/j.apenergy.2022.120212</t>
  </si>
  <si>
    <t xml:space="preserve">The increasing penetration of renewable generations, along with the deregulation and marketization of power industry, promotes the transformation of energy market operation paradigms. The optimal bidding strategy and dispatching methodologies under these new paradigms are prioritized concerns for both market participants and power system operators. In contrast with conventional solution methodologies, the Reinforcement Learning (RL), as an emerging machine learning technique that exhibits a more favorable computational performance, is playing an increasingly significant role in both academia and industry. This paper presents a comprehensive review of RL applications in deregulated energy market operation including bidding and dispatching strategy optimization, based on more than 150 carefully selected papers. For each application, apart from a paradigmatic summary of generalized methodology, in-depth discussions of applicability and obstacles while deploying RL techniques are also provided. Finally, some RL techniques that have great potentiality to be deployed in bidding and dispatching problems are recommended and discussed.</t>
  </si>
  <si>
    <t xml:space="preserve">SENS-039</t>
  </si>
  <si>
    <t xml:space="preserve">Arwa, EO; Folly, KA</t>
  </si>
  <si>
    <t xml:space="preserve">SENS-086</t>
  </si>
  <si>
    <t xml:space="preserve">SENS-008</t>
  </si>
  <si>
    <t xml:space="preserve">Review of energy management systems and optimization methods for hydrogen-based hybrid building microgrids</t>
  </si>
  <si>
    <t xml:space="preserve">Sarwar, FA; Hernando-Gil, I; Vechiu, I</t>
  </si>
  <si>
    <t xml:space="preserve">ENERGY CONVERSION AND ECONOMICS</t>
  </si>
  <si>
    <t xml:space="preserve">10.1049/enc2.12126</t>
  </si>
  <si>
    <t xml:space="preserve">Renewable energy-based microgrids (MGs) strongly depend on the implementation of energy storage technologies to optimize their functionality. Traditionally, electrochemical batteries have been the predominant means of energy storage. However, technological advancements have led to the recognition of hydrogen as a promising solution to address the long-term energy requirements of microgrid systems. This study conducted a comprehensive literature review aimed at analysing and synthesizing the principal optimization and control methodologies employed in hydrogen-based microgrids within the context of building microgrid infrastructures. A comparative assessment was conducted to evaluate the merits and disadvantages of the different approaches. The optimization techniques for energy management are categorized based on their predictability, deployment feasibility, and computational complexity. In addition, the proposed ranking system facilitates an understanding of its suitability for diverse applications. This review encompasses deterministic, stochastic, and cutting-edge methodologies, such as machine learning-based approaches, and compares and discusses their respective merits. The key outcome of this research is the classification of various energy management strategy methodologies for hydrogen-based MG, along with a mechanism to identify which methodologies will be suitable under what conditions. Finally, a detailed examination of the advantages and disadvantages of various strategies for controlling and optimizing hybrid microgrid systems with an emphasis on hydrogen utilization is provided.</t>
  </si>
  <si>
    <t xml:space="preserve">SENS-035</t>
  </si>
  <si>
    <t xml:space="preserve">Jin, RY; Xu, P; Gu, JF; Xiao, T; Li, CH; Wang, HX</t>
  </si>
  <si>
    <t xml:space="preserve">BUILDING AND ENVIRONMENT</t>
  </si>
  <si>
    <t xml:space="preserve">SENS-012</t>
  </si>
  <si>
    <t xml:space="preserve">Review on the Research and Practice of Deep Learning and Reinforcement Learning in Smart Grids</t>
  </si>
  <si>
    <t xml:space="preserve">Zhang, DX; Han, XQ; Deng, CY</t>
  </si>
  <si>
    <t xml:space="preserve">Smart grids are the developmental trend of power systems and they have attracted much attention all over the world. Due to their complexities, and the uncertainty of the smart grid and high volume of information being collected, artificial intelligence techniques represent some of the enabling technologies for its future development and success. Owing to the decreasing cost of computing power, the profusion of data, and better algorithms, AI has entered into its new developmental stage and AI 2.0 is developing rapidly. Deep learning (DL), reinforcement learning (RL) and their combination-deep reinforcement learning (DRL) are representative methods and relatively mature methods in the family of AI 2.0. This article introduces the concept and status quo of the above three methods, summarizes their potential for application in smart grids, and provides an overview of the research work on their application in smart grids.</t>
  </si>
  <si>
    <t xml:space="preserve">SENS-087</t>
  </si>
  <si>
    <t xml:space="preserve">Spatiotemporal Deep Learning for Power System Applications: A Survey</t>
  </si>
  <si>
    <t xml:space="preserve">M. Saffari; M. Khodayar</t>
  </si>
  <si>
    <t xml:space="preserve">10.1109/access.2024.3424854</t>
  </si>
  <si>
    <t xml:space="preserve">Understanding spatiotemporal correlations in power systems is crucial for maintaining grid stability, reliability, and efficiency. By discerning connections between spatial and temporal dimensions, operators can anticipate and address issues such as congestion, voltage instability, and equipment failures. Recent advancements in power system analysis have leveraged spatiotemporal correlations through sophisticated data-driven algorithms. In this survey paper, we conduct a comprehensive examination of deep learning frameworks tailored to tackle the complexities inherent in spatiotemporal data analysis within power systems. We categorize machine learning methodologies into discriminative, generative, and reinforcement learning, providing a structured overview of their mathematical foundations, advantages, and limitations in processing dynamic power system measurements. Through empirical evaluations, we assess the performance of these methodologies across various spatiotemporal applications, including cyber attack detection, fault identification, demand response, and renewable energy forecasting, offering insights into their efficacy and applicability. Additionally, we identify emerging topics within the machine learning domain that hold promise for future endeavors in power systems analysis.</t>
  </si>
  <si>
    <t xml:space="preserve">SENS-078</t>
  </si>
  <si>
    <t xml:space="preserve">State- of - the - Art Review of Enhance Energy Management in Smart Grid Using Artificial Intelligence</t>
  </si>
  <si>
    <t xml:space="preserve">M. Said; B. Brahim; D. Kaoutar; A. Mohamed</t>
  </si>
  <si>
    <t xml:space="preserve">2025 International Conference on Circuit, Systems and Communication (ICCSC)</t>
  </si>
  <si>
    <t xml:space="preserve">10.1109/iccsc66714.2025.11135247</t>
  </si>
  <si>
    <t xml:space="preserve">The increase in global demand for electricity in recent years has led to a growing search for solutions to improve the efficiency, reliability and sustainability of energy sources, as most countries still rely heavily on fossil fuels for power generation. Among these solutions, smart grids (SG) represent an advanced infrastructure that integrates the national grid with renewable energy sources (wind, solar, etc.) as well as communication technologies (sensors, IoT, smart meters, etc.). And among the challenges of this network is energy management, which includes load forecasting, integration of renewable energies, demand response, fault detection, network security, etc. In this article, the AI technologies used in smart grid energy management systems are examined and discussed in detail. Their capabilities and limitations are explained.</t>
  </si>
  <si>
    <t xml:space="preserve">SENS-076</t>
  </si>
  <si>
    <t xml:space="preserve">Survey on Demand Response in the Landscape of Adaptive and Intelligent Building Energy Management Systems</t>
  </si>
  <si>
    <t xml:space="preserve">M. Ibrar; H. N. Abishu; A. M. Seid; S. Márquez-Sánchez; J. H. Fernandez; J. M. Corchado; A. Erbad</t>
  </si>
  <si>
    <t xml:space="preserve">2024 International Wireless Communications and Mobile Computing (IWCMC)</t>
  </si>
  <si>
    <t xml:space="preserve">10.1109/iwcmc61514.2024.10592593</t>
  </si>
  <si>
    <t xml:space="preserve">Demand response (DR) plays a significant role in modern energy management systems, particularly within the context of adaptive and intelligent building energy management systems (AI-BEMS). In the AI-BEMS context, DR focuses on dynamically adjusting energy usage in response to external factors, such as electricity prices, grid conditions, and environmental considerations. This survey paper explores the evolving landscape of DR within the framework of AI-BEMS, focusing on the integration of advanced technologies and adaptive strategies to optimize energy consumption and enhance grid reliability. This article reviews state-of-the-art research addressing the key concepts associated with integrating DR and AI-BEMS, including an overview of DR techniques in AI-BEMS, and an artificial intelligence and machine learning applications for the development of adaptive control strategies and DR optimization. Then, insights are provided on the future directions and the challenges in this field regarding the implementation of DR within AI-BEMS.</t>
  </si>
  <si>
    <t xml:space="preserve">SENS-014</t>
  </si>
  <si>
    <t xml:space="preserve">The Application of Reinforcement Learning to Pumps-A Systematic Literature Review</t>
  </si>
  <si>
    <t xml:space="preserve">Aribisala, AA; Ghori, UAS; Cavalcante, CAV</t>
  </si>
  <si>
    <t xml:space="preserve">MACHINES</t>
  </si>
  <si>
    <t xml:space="preserve">10.3390/machines13060480</t>
  </si>
  <si>
    <t xml:space="preserve">Reinforcement learning, a subset of machine learning in the field of engineering informatics, has revolutionized the decision-making and control of industrial pumping systems. A set of 100 peer-reviewed papers on the application of reinforcement learning to pumps, sourced from the Scopus database, were selected. The selected papers were subjected to bibliometric and content analyses. The existing approaches in use, the challenges that have been experienced, and the future trends in the field are all explored in depth. The majority of the studies focused on developing a control system for pumps, with heat pumps being the most prevalent type, while also considering their economic impact on energy consumption in the industry. Future trends include the use of Internet-of-Things sensors on pumps, a hybrid of model-free and model-based reinforcement learning algorithms, and the development of "weighted" models. Finally, ideas for developing a practical reinforcement learning-bundled software for the industry are presented to create an effective system that includes a comprehensive reinforcement learning framework application.</t>
  </si>
  <si>
    <t xml:space="preserve">SENS-046</t>
  </si>
  <si>
    <t xml:space="preserve">The Double Readiness Gap in Machine Learning for Building Energy Management: A Scoping Review of Deployment Maturity, Trustworthy AI, and EU AI Act Alignment</t>
  </si>
  <si>
    <t xml:space="preserve">Malvoni, M</t>
  </si>
  <si>
    <t xml:space="preserve">10.3390/su18126107</t>
  </si>
  <si>
    <t xml:space="preserve">Reducing building energy consumption is central to EU climate-neutrality targets and to sustainable development goals: buildings account for around 40% of EU final energy consumption, placing Building Energy Management Systems (BEMS) at the intersection of the European Green Deal and the EU Artificial Intelligence Act. A scoping review following PRISMA-ScR guidelines charted 61 Machine Learning (ML) for BEMS papers (2020-2026) across three sub-domains (load forecasting and energy monitoring, HVAC control, and demand response), using a nine-point Technology Readiness Level (TRL) rubric and three Trustworthy AI (TAI) dimensions (Privacy &amp; Data Governance, Robustness, and Transparency). The review finds that 90.2% of papers remain at the development stage (TRL 4-6), with no multi-site production deployment documented. TAI coverage is heterogeneous at publication level: transparency is addressed in only 3 of 61 papers (4.9%), and privacy provisions (the best-covered ALTAI dimension) are concentrated in demand-response papers (9 of 17, 52.9%), largely via Federated Learning (6 of 9 privacy-tagged papers). A three-level EU AI Act risk classification identifies 23 borderline-candidacy papers (37.7%), predominantly Reinforcement Learning-based HVAC control systems, whose high-risk proximity cannot be resolved at abstract level; explicit compliance engagement is absent from all 61 mapped sources, including the 22 papers published after the Act entered into force in August 2024. The findings document adouble readiness gap: a TRL ceiling co-located with limited documented engagement with TAI obligations and EU AI Act compliance at publication level. Closing this gap is necessary before AI-driven building energy management can be deployed at scale under EU governance requirements.</t>
  </si>
  <si>
    <t xml:space="preserve">SENS-030</t>
  </si>
  <si>
    <t xml:space="preserve">Peirelinck, T; Kazmi, H; Mbuwir, B; Hermans, C; Spiessens, F; Suykens, J; Deconinck, G</t>
  </si>
  <si>
    <t xml:space="preserve">A number of decarbonization scenarios for the energy sector are built on simultaneous electrification of energy demand, and decarbonization of electricity generation through renewable energy sources. However, increased electricity demand due to heat and transport electrification and the variability associated with renewables have the potential to disrupt stable electric grid operation. To address these issues using demand response, researchers and practitioners have increasingly turned towards automated decision support tools which utilize machine learning and optimization algorithms. However, when applied naively, these algorithms suffer from high sample complexity, which means that it is often impractical to fit sufficiently complex models because of a lack of observed data. Recent advances have shown that techniques such as transfer learning can address this problem and improve their performance considerably - both in supervised and reinforcement learning contexts. Such formulations allow models to leverage existing domain knowledge and human expertise in addition to sparse observational data. More formally, transfer learning embodies all techniques where one aims to increase (learning) performance in a target domain or task, by using knowledge gained in a source domain or task. This paper provides a detailed overview of state-of-the-art techniques on applying transfer learning in demand response, showing improvements that can exceed 30% in a variety of tasks. We observe that most research to date has focused on transfer learning in the context of electricity demand prediction, although reinforcement learning based controllers have also seen increasing attention. However, a number of limitations remain in these studies, including a lack of benchmarks, systematic performance improvement tracking, and consensus on techniques that can help avoid negative transfer.</t>
  </si>
  <si>
    <t xml:space="preserve">Final Main-Query Update — 59 Unique Records (rebuilt from raw RIS exports)</t>
  </si>
  <si>
    <t xml:space="preserve">Update ID</t>
  </si>
  <si>
    <t xml:space="preserve">Sensitivity 87 match</t>
  </si>
  <si>
    <t xml:space="preserve">UPD-001</t>
  </si>
  <si>
    <t xml:space="preserve">Previously assessed</t>
  </si>
  <si>
    <t xml:space="preserve">Already assessed in the expanded sensitivity route</t>
  </si>
  <si>
    <t xml:space="preserve">WoS_MAIN_UPDATE_2026-09.ris</t>
  </si>
  <si>
    <t xml:space="preserve">UPD-002</t>
  </si>
  <si>
    <t xml:space="preserve">Already assessed in the original cumulative route</t>
  </si>
  <si>
    <t xml:space="preserve">IEEE_Xplore_Citation_RIS_Download_2026.9.2.14.36.51.ris</t>
  </si>
  <si>
    <t xml:space="preserve">UPD-003</t>
  </si>
  <si>
    <t xml:space="preserve">SD A; SD B</t>
  </si>
  <si>
    <t xml:space="preserve">ScienceDirect_citations_1788352751138_A.ris; ScienceDirect_citations_1788352803630_B.ris</t>
  </si>
  <si>
    <t xml:space="preserve">UPD-004</t>
  </si>
  <si>
    <t xml:space="preserve">Advanced Control Strategies for Energy-Efficient Electric Vehicle Cabin Air Conditioning Systems: A Review</t>
  </si>
  <si>
    <t xml:space="preserve">Geleta, RC; Suhaimi, MFB; Jang, DS; Kim, JK; Lee, D; Lee, H</t>
  </si>
  <si>
    <t xml:space="preserve">10.3390/en19133053</t>
  </si>
  <si>
    <t xml:space="preserve">Energy efficiency is a critical challenge in heating, ventilation, and air conditioning (HVAC) systems in battery electric vehicles (BEVs), as they are among the main auxiliary systems directly affecting driving range. This review examines control-oriented strategies for EV cabin thermal management, focusing on how advanced control can improve energy utilization while maintaining thermal comfort. Specifically, the review examines predictive control methods, optimization-based strategies, and data-driven learning approaches applied to HVAC systems, with particular emphasis on model predictive control, dynamic programming, and reinforcement learning frameworks. The literature shows that advanced controllers can reduce HVAC energy consumption while maintaining thermal comfort; however, most existing studies still focus on whole-cabin air regulation. In contrast, localized actuators, including seat heaters, radiant panels, infrared heaters, and targeted airflow systems, are rarely optimized or incorporated as explicit manipulated variables in control frameworks. This review identifies the lack of coordinated local-global actuator optimization and control as a major research gap. Future EV cabin thermal management should therefore prioritize human-centric, prediction-aware, and safety-constrained control frameworks that jointly optimize global HVAC operation and localized comfort actuation.</t>
  </si>
  <si>
    <t xml:space="preserve">UPD-005</t>
  </si>
  <si>
    <t xml:space="preserve">AFA-Fed: Adaptive Fast Asynchronous Federated Learning for Resource-Constrained Edge Devices</t>
  </si>
  <si>
    <t xml:space="preserve">L. Zhang; Y. Xiao; B. Tang; W. He; Y. Huang; K. Li</t>
  </si>
  <si>
    <t xml:space="preserve">IEEE Transactions on Consumer Electronics</t>
  </si>
  <si>
    <t xml:space="preserve">10.1109/tce.2026.3682624</t>
  </si>
  <si>
    <t xml:space="preserve">The essence of federated learning lies in collaboratively training a model across multiple clients while preserving privacy. Implementing efficient federated learning in edge computing faces various challenges, including device heterogeneity, resource constraints, and dynamic network environments in consumer electronics (e.g., smart home systems and wearables). This paper proposes an adaptive federated optimization algorithm (AFA-Fed) based on Deep Deterministic Policy Gradient (DDPG) from reinforcement learning. The algorithm aims to minimize global training time while considering resource constraints and model convergence guarantees. It intelligently adjusts the number of local models participating in global model aggregation in each round based on different federated learning tasks and real-time network conditions, guiding the central server to optimize the selection of training nodes and resource allocation strategies. Additionally, a fast edge device selection strategy is introduced to mitigate the impact of slow clients. Finally, experiments on two real-world datasets validate the effectiveness and reliability of the proposed solution. Under resource-constrained consumer settings, AFA-Fed can reduce training time by approximately 45% and improve training accuracy by about 25% compared to state-of-the-art methods.</t>
  </si>
  <si>
    <t xml:space="preserve">UPD-006</t>
  </si>
  <si>
    <t xml:space="preserve">AI-driven HVAC control optimisation for enhancing energy efficiency and indoor environmental quality: A review of recent advances and emerging approaches</t>
  </si>
  <si>
    <t xml:space="preserve">Otoo, Christopher; Lu, Tao; Lü, Xiaoshu; Katsuyuki, Haneda; Yuan, Yanping</t>
  </si>
  <si>
    <t xml:space="preserve">10.1016/j.buildenv.2026.114968</t>
  </si>
  <si>
    <t xml:space="preserve">ScienceDirect_citations_1788352751138_A.ris</t>
  </si>
  <si>
    <t xml:space="preserve">Heating, ventilation, and air-conditioning (HVAC) systems are central to building decarbonisation, yet improving indoor environmental quality (IEQ) often increases energy demand. This paper presents a systematic literature review of AI-driven HVAC control optimization for jointly improving energy efficiency and indoor environmental quality across different building types and climatic contexts. Following a PRISMA-based screening process, the review synthesizes 143 recent peer-reviewed studies published between 2020 and 2025. The analysis revealed supervised learning as the dominant ML technique for prediction and surrogate modelling and is frequently embedded in model predictive control (MPC). Reinforcement learning and deep reinforcement learning are increasingly applied to multi-objective supervisory control of setpoints, airflow, dampers and HVAC components because they offer model-free adaptability. Hybrid and ensemble approaches are emerging to improve robustness and trade-offs between energy efficiency and IEQ. Across diverse building typologies and climates, the reviewed studies reported an average energy savings of 40% compared with baseline cases, with several studies achieving savings above 50% while maintaining excellent IEQ. Despite these promising results, real-world validation remains limited as only 8 of 130 studies progressed to field or testbed deployment, highlighting a concerning gap between simulation-based research and practical validation. This review provides a comprehensive, context-sensitive mapping of AI-driven HVAC applications for enhancing both energy efficiency and IEQ in buildings.</t>
  </si>
  <si>
    <t xml:space="preserve">UPD-007</t>
  </si>
  <si>
    <t xml:space="preserve">ScienceDirect_citations_1788352751138_A.ris; WoS_MAIN_UPDATE_2026-09.ris</t>
  </si>
  <si>
    <t xml:space="preserve">UPD-008</t>
  </si>
  <si>
    <t xml:space="preserve">AI-enabled integration of life cycle assessment in building retrofitting: A Comprehensive Review of Methods and Applications</t>
  </si>
  <si>
    <t xml:space="preserve">Luan, K; Jing, YH</t>
  </si>
  <si>
    <t xml:space="preserve">10.1016/j.rineng.2026.109568</t>
  </si>
  <si>
    <t xml:space="preserve">Background: Life cycle assessment (LCA) is widely used to evaluate the environmental impacts of building retrofits, yet conventional methods struggle with dynamic data and complex decision-making. Artificial intelligence (AI) offers tools to enhance LCA through predictive modelling, optimisation, and automated data integration. Aim: This review synthesises current applications of AI-enabled LCA in building retrofitting, categorising techniques, application areas, and supporting data ecosystems, while identifying challenges and opportunities. Methodology: A systematic review of 52 peer-reviewed studies from the last decade was conducted. In the assessment of the studies, a structured quality assessment framework was employed which depended on the type of validation, quality of the data source used, level of application, and the way of handling uncertainties. Performance metrics of the algorithm (R 2, RMSE, MAE), the level of maturity and the appropriateness in the context of retrofit were also compared. Findings: Machine learning methods, including regression, decision trees, and neural networks, have been applied to predict retrofit performance, energy use, and life cycle impacts. Comparative analysis of cross-study showed that ensemble techniques (RF, GB) yielded better accuracy (R 2 or greater than 0.90) than single algorithms but at higher computational cost. Optimisation algorithms, such as genetic algorithms and reinforcement learning, support multi-objective trade-offs between cost, carbon emissions, and comfort. There is however a great variation in the depth of validation with most studies being of a simulation only type instead of practical implementation. Automated data management using BIM, IoT sensors, and smart meters enables real-time updates and more accurate assessments. Applications span component-level retrofits in HVAC, glazing, insulation, and lighting, as well as whole-building lifecycle evaluations. Key challenges include data heterogeneity, limited interoperability between AI and LCA platforms, model generalisation, and the transparency of AI outputs. Conclusion: AI enhances the scope, accuracy, and adaptability of LCA in building retrofitting, though further progress is needed in standardisation, transparency, and large-scale validation for industry-wide adoption. Key limitations in the service-life model and uncertainty quantification were established in the reviewed literature.</t>
  </si>
  <si>
    <t xml:space="preserve">UPD-009</t>
  </si>
  <si>
    <t xml:space="preserve">AI-Powered Digital Twins for Building Energy Management: Modeling Frameworks, Validation and Uncertainty Quantification, Smart Grid Integration, and Deployment Roadmap</t>
  </si>
  <si>
    <t xml:space="preserve">Lach, L</t>
  </si>
  <si>
    <t xml:space="preserve">10.3390/su18136908</t>
  </si>
  <si>
    <t xml:space="preserve">The global buildings and construction sector remains a dominant contributor to anthropogenic climate change, and deep decarbonization has positioned digital twin technology as a transformative pathway for intelligent building energy management. Despite considerable research momentum, the field lacks a coherent synthesis mapping AI capabilities onto the full digital twin lifecycle-from sensor-driven calibration through real-world deployment to district-scale operation. This review addresses this gap through six objectives: analyzing AI-enhanced modeling approaches for building digital twins; examining data infrastructure and interoperability requirements; evaluating validation, calibration, and uncertainty quantification practices; synthesizing real-world implementation evidence across diverse building typologies; assessing integration with renewable energy systems and smart grids; and identifying challenges, research gaps, and a strategic deployment roadmap. Physics-based, data-driven, and hybrid modeling strategies occupy distinct and complementary roles. Physics-informed surrogate models preserve thermodynamic interpretability while reducing computational overhead; deep learning architectures-including recurrent networks and reinforcement learning agents-deliver adaptive control; and federated learning frameworks enable privacy-preserving optimization across distributed building portfolios. Rigorous multi-metric validation aligned with established calibration standards proves essential for trustworthy deployment, while Bayesian and ensemble-based uncertainty quantification methods emerge as indispensable components of operationally credible digital twins. Evidence from real-world deployments in residential, commercial, healthcare, and industrial facilities confirms that AI-powered digital twins consistently deliver substantial energy savings and measurable improvements in occupant comfort. Scaling to district and urban levels introduces challenges in data governance, computational architecture, and multi-stakeholder coordination, yet federated digital twin frameworks are beginning to demonstrate viable pathways. The paper concludes with a decade-long strategic roadmap spanning technological maturation, market development, regulatory alignment, and decarbonization impact-positioning AI-enhanced digital twins not as incremental optimization tools, but as the foundational infrastructure for the coordinated transformation of the global building stock.</t>
  </si>
  <si>
    <t xml:space="preserve">UPD-010</t>
  </si>
  <si>
    <t xml:space="preserve">AI technologies towards achieving net-zero energy building: Potential framework, implementation factors, challenges and future directions</t>
  </si>
  <si>
    <t xml:space="preserve">Hannan, M.A.; Ansari, S.; Arsad, S.R.; Arsad, A.Z.; Ker, Pin Jern; Begum, R.A.; Jang, G.</t>
  </si>
  <si>
    <t xml:space="preserve">Sustainable Energy Technologies and Assessments</t>
  </si>
  <si>
    <t xml:space="preserve">10.1016/j.seta.2025.104804</t>
  </si>
  <si>
    <t xml:space="preserve">To achieve Net-Zero Energy Buildings (NZEBs), intelligent, flexible systems that can handle intricate energy dynamics in real time are needed. Artificial Intelligence (AI) is crucial for accomplishing NZEB objectives because it optimizes energy use, forecasts demand and increases control accuracy. This review synthesizes findings from 350 peer-reviewed studies published between 2016 and 2025 to examine the role of AI in building energy consumption, HVAC control, and smart building operation. A structured selection and thematic analysis approach is employed to classify AI applications, identify dominant research directions, and evaluate implementation readiness. The review highlights that data-driven models, hybrid AI frameworks, and reinforcement learning-based controllers consistently outperform conventional rule-based strategies in terms of flexibility, responsiveness, and automation capability. The review also identifies key implementation factors for AI in NZEBs, including interpretability, hybrid architectures, computational effectiveness, system integration, model selection, data quality and preprocessing, and interpretation. The latest developments in AI-based NZEB research are also covered, including digital twins, explainable AI, federated and transfer learning, AI for retrofit and design optimization, and interpretable models. Furthermore, important issues and challenges are listed to denote areas that lack research on AI-enabled NZEB systems. Lastly, this review offers useful suggestions, prospects for the future, and strategic directions to help researchers create strong, context-aware AI solutions for the intelligent management and sustainable operation of next-generation energy-efficient buildings.</t>
  </si>
  <si>
    <t xml:space="preserve">UPD-011</t>
  </si>
  <si>
    <t xml:space="preserve">An Edge-Device Coordination Approach Based on Resource-Sharing for Real-Time Load Monitoring</t>
  </si>
  <si>
    <t xml:space="preserve">M. Liang; Q. Luo; T. Yu; Y. Wu; C. Lan; Z. Pan</t>
  </si>
  <si>
    <t xml:space="preserve">10.1109/tce.2025.3610877</t>
  </si>
  <si>
    <t xml:space="preserve">Faulty electrical wiring, overloading, and especially hazardous appliances are now threatening more and more people’s lives. Consumer electronics, particularly smart home devices such as smart sockets with load monitoring capabilities are gaining popularity, since they are expected to control the risks of electricity consumption based on appliance-level information. However, their timeliness and practicality remain a challenging issue. As a result, this paper presents an edge-device coordination (EDC) approach for real-time load monitoring that fully shares and exploits idle computing resources in edge-device systems. The complicated electrical safety protection tasks of smart home devices are first modeled in detail. Next, a novel edge-device coordination framework is proposed, building on a refined resource manager and a task scheduler that handles uncertainty with lightweight deep reinforcement learning. Furthermore, an electrical safety protection system that includes smart socket with communication, sensing, and control capabilities, as well as a Qt-based edge server are designed for experiments. In the simulation of a house, the task completion rate increases by 17.1%, while the efficiency improves by 3.28% with the proposed EDC approach. We further validate the scalability and robustness of EDC approach under varying device numbers and network conditions, and demonstrate its superiority over state-of-the-art methods.</t>
  </si>
  <si>
    <t xml:space="preserve">UPD-012</t>
  </si>
  <si>
    <t xml:space="preserve">A review of current research and development for mechanical ventilation systems in poultry houses</t>
  </si>
  <si>
    <t xml:space="preserve">Su, M; Aerts, JM; Norton, T</t>
  </si>
  <si>
    <t xml:space="preserve">10.1016/j.enbuild.2025.116903</t>
  </si>
  <si>
    <t xml:space="preserve">ScienceDirect_citations_1788352803630_B.ris; WoS_MAIN_UPDATE_2026-09.ris</t>
  </si>
  <si>
    <t xml:space="preserve">Mechanical ventilation (MV) system in poultry houses plays a crucial role under intensive farming condition, effectively mitigating overheating, overcooling, excessive humidity, air pollution and airborne pathogens. Investigating MV system in poultry houses involves identifying and analyzing various ventilation strategies, auxiliary cooling and heating systems and ventilation controllers, as well as evaluating their impact on environment and energy efficiency. However, a comprehensive and systematic review focusing specifically on poultry house ventilation systems is still lacking, highlighting the need for an in-depth investigation in this field. The reviewed studies were classified into three major aspects: (1) an overview of MV strategies aimed at maintaining thermal comfort and promoting wet litter drying, including analysis of their advantages, limitations, and possible improvements; (2) evaluation of energy-efficient auxiliary cooling and heating systems; (3) comparison of environmental controllers in terms of control accuracy and energy use. This study emphasizes that ventilation design should account for climatic conditions, building types, and geographical factors, as well as biological variables such as bird type, age, and production schedule. For the research methods, computational fluid dynamics should be coupled with poultry thermoregulation model, and more realistic full-sale experiments are needed to obtain representative data. Furthermore, advanced control approaches, including model predictive control and reinforcement learning should be developed. These aspects are essential for future advancements, particularly in developing integrated, energy-efficient, and adaptive ventilation systems for sustainable poultry production. Abbreviations:ARV, Air recirculation ventilation; CP, Cooling pads;CV, Crossing ventilation; DEC, Direct evaporative cooling; DPIEC, Dew-point indirect evaporative cooling; EAHE, Earth-to-air heat exchangers; C, Fogging cooling; FLC, Fuzzy logic control; GSHP, Ground source heat pump; HRV, Heat recovery ventilation; IEC, Indirect evaporative cooling; LADV, Localised air distribution ventilation; LCC, Life cycle cost; LCE, Life cycle emission; M-cycle EC, Maisotsenko-cycle evaporative cooling; MPC, Model predictive control; MV, Mechanical ventilation; PID, Proportional-integral-derivative; SC, Sprinkling cooling; SSV, Single-side ventilation; TV, Tunnel ventilation; UADV, Upward airflow displacement ventilation.</t>
  </si>
  <si>
    <t xml:space="preserve">UPD-013</t>
  </si>
  <si>
    <t xml:space="preserve">A review of deep reinforcement learning algorithms for grid services in grid-interactive efficient buildings</t>
  </si>
  <si>
    <t xml:space="preserve">Amer, Aya A.; Bayhan, Sertac; Abu-Rub, Haitham; Massoud, Ahmed; Ehsani, Mehrdad</t>
  </si>
  <si>
    <t xml:space="preserve">10.1016/j.egyr.2025.12.037</t>
  </si>
  <si>
    <t xml:space="preserve">Grid-service operation is central and outside the declared quantitative scope</t>
  </si>
  <si>
    <t xml:space="preserve">Close/full-text register — treatment: Excluded</t>
  </si>
  <si>
    <t xml:space="preserve">Integrating deep reinforcement learning (DRL) into building energy management systems offers an innovative method for improving grid stability and efficiency. Grid-interactive efficient buildings (GEBs) that utilize intelligent algorithms can dynamically optimize their energy usage and generation based on real-time grid conditions. This paper provides a comprehensive review of the applications of DRL in GEBs, focusing on its potential to autonomously manage energy consumption, balance renewable energy variability, and support grid services. The paper also examines the simulation tools available for evaluating GEB performance and highlight their integration with DRL frameworks. Despite the promising advancements, DRL applications encounter challenges such as algorithmic complexity, reliance on extensive data, and difficulties in integrating with existing infrastructures. The paper will also present comprehensive analyses that showcase current achievements while also investigate key challenges that must be addressed. Tackling these issues will allow DRL to realize its full potential in building energy management systems, contributing to a more sustainable and efficient energy future.</t>
  </si>
  <si>
    <t xml:space="preserve">UPD-014</t>
  </si>
  <si>
    <t xml:space="preserve">Artificial Intelligence in Photovoltaic-Integrated Buildings: From Energy Forecasting to Intelligent Control and Net-Zero Performance</t>
  </si>
  <si>
    <t xml:space="preserve">Kowalik, R</t>
  </si>
  <si>
    <t xml:space="preserve">10.3390/en19112534</t>
  </si>
  <si>
    <t xml:space="preserve">This paper presents a comprehensive review of artificial intelligence (AI) applications in photovoltaic-integrated buildings, focusing on energy forecasting, advanced control strategies, and pathways toward net-zero energy performance. Net-zero energy buildings are defined as systems that balance annual energy consumption with on-site renewable generation, requiring efficient and adaptive energy management. The review analyzes state-of-the-art AI-based forecasting methods for photovoltaic power generation and building energy demand, demonstrating the superior performance of machine learning and deep learning models in capturing nonlinear and time-dependent patterns. In parallel, advanced control strategies, including model predictive control (MPC), reinforcement learning (RL), and hybrid approaches, are evaluated in terms of their performance, limitations, and practical applicability. The results show that accurate forecasting alone is insufficient, and its integration with control strategies is essential for optimal system operation. Hybrid approaches combining model-based and data-driven methods emerge as the most effective solution for complex and dynamic environments. The role of real-time energy management systems in enabling adaptive and coordinated operation is also highlighted. Finally, key challenges related to data quality, model interpretability, and system integration are identified, along with future research directions. Overall, AI-driven energy management systems have strong potential to transform photovoltaic-integrated buildings into intelligent, flexible, and sustainable energy systems.</t>
  </si>
  <si>
    <t xml:space="preserve">UPD-015</t>
  </si>
  <si>
    <t xml:space="preserve">UPD-016</t>
  </si>
  <si>
    <t xml:space="preserve">A systematic review of artificial intelligence applications for indoor air quality monitoring in educational settings</t>
  </si>
  <si>
    <t xml:space="preserve">Hashir, PK; Veerasingam, S; Haris, RM; Sadooni, F; Ghani, S</t>
  </si>
  <si>
    <t xml:space="preserve">ENGINEERING APPLICATIONS OF ARTIFICIAL INTELLIGENCE</t>
  </si>
  <si>
    <t xml:space="preserve">10.1016/j.engappai.2025.113383</t>
  </si>
  <si>
    <t xml:space="preserve">Air pollution in indoor environments poses significant health risks, particularly in sensitive areas like schools, where children are more vulnerable. Traditional air quality monitoring methods are often inadequate, as they lack the capacity to provide real-time, predictive data essential for timely and proactive interventions. This systematic review investigates the role of artificial intelligence (AI), machine learning (ML), and deep learning (DL) in advancing indoor air quality (IAQ) monitoring and management. By analyzing recent studies, this review demonstrates how AI-driven models improve IAQ monitoring by forecasting pollutant concentrations, optimizing ventilation systems, and enhancing the accuracy of low-cost sensors. The review identifies successful implementations of AI in educational settings, highlighting applications such as supervised and unsupervised learning for pollutant prediction, anomaly detection, and reinforcement learning (RL) for heating, ventilation, and air conditioning (HVAC) optimization. However, several challenges remain, such as data scarcity, limited model interpretability, and difficulties in integrating with existing building management systems (BMS), which limit scalability and generalizability. To address these challenges, this review outlines future research directions, such as conducting long-term studies in dynamic, real-world environments and advancing AI and internet of things (IoT) integration. By bridging this gap, the goal is to develop an effective and accessible IAQ solution tailored for schools in hot and arid climates, ensuring healthier environment for students and educators.</t>
  </si>
  <si>
    <t xml:space="preserve">UPD-017</t>
  </si>
  <si>
    <t xml:space="preserve">UPD-018</t>
  </si>
  <si>
    <t xml:space="preserve">UPD-019</t>
  </si>
  <si>
    <t xml:space="preserve">A systematic review of context-aware and AI-driven home energy and comfort management</t>
  </si>
  <si>
    <t xml:space="preserve">Gao, Jiajing; Sun, Cheng; Zhuang, Dian; Xue, Wei; Xiang, Changying</t>
  </si>
  <si>
    <t xml:space="preserve">EBES Sustainable Building</t>
  </si>
  <si>
    <t xml:space="preserve">10.1016/j.ebesb.2026.100007</t>
  </si>
  <si>
    <t xml:space="preserve">This systematic review explores the advancements in Context-Aware Home Energy and Comfort Management (HECM) systems, emphasizing the integration of environmental monitoring, user behavior analysis, and artificial intelligence (AI) technologies. As smart homes proliferate, optimizing energy efficiency while enhancing indoor comfort has become paramount, particularly in light of energy consumption and climate change challenges. The paper presents six research questions addressing critical aspects such as sensor deployment, data collection methods, user personalization, AI-driven control strategies, privacy protection, and prototype validation. The findings highlight the potential of multimodal sensor data fusion and AI methodologies, including reinforcement learning and Large Language Models (LLMs), to create a responsive and efficient HECM ecosystem. Despite progress, challenges remain concerning user privacy, data security, and the effectiveness of empirical validation in real-life settings. This review elucidates the need for interdisciplinary approaches and innovative technologies to advance HECM, aiming for greater user acceptance and sustainable energy management solutions.</t>
  </si>
  <si>
    <t xml:space="preserve">UPD-020</t>
  </si>
  <si>
    <t xml:space="preserve">Autonomous Mental Development at the Individual and Collective Levels: Concept and Challenges</t>
  </si>
  <si>
    <t xml:space="preserve">M. Lippi; S. Mariani; M. Martinelli; F. Zambonelli</t>
  </si>
  <si>
    <t xml:space="preserve">10.1109/access.2024.3522362</t>
  </si>
  <si>
    <t xml:space="preserve">The increasing complexity and unpredictability of many ICT scenarios let us envision that future systems will have to dynamically learn how to act and adapt to face evolving situations with little or no a priori knowledge, both at the level of individual components and at the collective level. In other words, such systems should become able to autonomously (i.e., self-) develop mental models of themselves and of their environment. Autonomous mental development includes: learning models of own capabilities; learning how to act purposefully towards the achievement of specific goals; and learning how to act in the presence of others, i.e., at the collective level. In this paper, we introduce a conceptual framework for autonomous mental development in ICT systems – at both the individual and collective levels – by framing its key concepts and illustrating suitable application domains. Then, we overview the many research areas that are contributing or can potentially contribute to the realization of the framework, and identify some key research challenges.</t>
  </si>
  <si>
    <t xml:space="preserve">UPD-021</t>
  </si>
  <si>
    <t xml:space="preserve">Cognitive Internet of Things: A Review of Theory, Applications, and Recent Advances</t>
  </si>
  <si>
    <t xml:space="preserve">A. Giuliano; A. McCafferty-Leroux; J. Yawney; S. Andrew Gadsden</t>
  </si>
  <si>
    <t xml:space="preserve">IEEE Communications Surveys &amp; Tutorials</t>
  </si>
  <si>
    <t xml:space="preserve">10.1109/comst.2025.3615461</t>
  </si>
  <si>
    <t xml:space="preserve">With the development of increasingly interconnected cyber-physical systems (CPSs), the Internet of Things (IoT) paradigm must be expanded further to account for the collection, transmission, and processing of unprecedented amounts of data in uncertain and changing environments. Cognitive Internet of Things (CIoT) introduces a paradigm shift in IoT systems by integrating the engineering perspective of cognition, as formulated in cognitive dynamic systems (CDS), into traditional IoT frameworks. This survey systematically examines how CIoT leverages the five pillars of cognition: perception, attention, memory, language, and intelligence, to enable context-aware, autonomous, and adaptive functionality. We trace the evolution from standard IoT architectures to this cognitively enriched model, detailing how data acquisition and storage, combined with enabling technologies such as data fusion, reinforcement learning, cognitive communications (via cognitive radios), and the integration of foundation models and large language models (LLMs), facilitate advanced data analytics and introduce a new intelligent layer for deeper contextual understanding and adaptation. By emphasizing the synergy between CDS principles and emerging technologies, the paper demonstrates how CIoT can address longstanding challenges in scalability, interoperability, and resource management. Through a critical evaluation of current limitations and lessons learned, we offer a forward-looking perspective on how these cognitively inspired frameworks can further enhance intelligent IoT ecosystems. Ultimately, this work serves as a foundational resource for aligning IoT systems with the engineering-driven notion of cognition, guiding future research and innovation in autonomous, scalable IoT environments.</t>
  </si>
  <si>
    <t xml:space="preserve">UPD-022</t>
  </si>
  <si>
    <t xml:space="preserve">UPD-023</t>
  </si>
  <si>
    <t xml:space="preserve">Included from this route</t>
  </si>
  <si>
    <t xml:space="preserve">Corpus INC-20</t>
  </si>
  <si>
    <t xml:space="preserve">This paper presents the implications of integrating deep reinforcement learning (DRL) and the Internet of Things (IoT) in optimizing energy management, specifically in smart buildings for sustainable urban development. It further explores how DRL, along with real-time IoT sensor-based data, helps improve energy performance in responding to actual HVAC, lighting and renewable energy conditions. Key techniques like genetic algorithms, particle swarm optimization and hybrid techniques are critically examined in maintaining an equilibrium between energy consumption versus renewable sourcing in smart building models. Boundary-preserving strategies and federated learning appear as techniques addressing expansibility and information protection difficulties, notably over IOT systems. Further research would include technology in local processing and situation-responsive DRL to enhance more independent, user-focused and ecologically responsive buildings. This review provides a roadmap for implementing robust, privacy-conscious AI frameworks in smart buildings, underlining their potential to cut energy use and contribute to broader environmental goals.</t>
  </si>
  <si>
    <t xml:space="preserve">UPD-024</t>
  </si>
  <si>
    <t xml:space="preserve">Deep Reinforcement Learning Empowered Sign Language Recognition for Enhanced Accessibility in Smart Home</t>
  </si>
  <si>
    <t xml:space="preserve">E. R</t>
  </si>
  <si>
    <t xml:space="preserve">IEEE Transactions on Human-Machine Systems</t>
  </si>
  <si>
    <t xml:space="preserve">10.1109/thms.2026.3695755</t>
  </si>
  <si>
    <t xml:space="preserve">This article introduces reinforcement learning-based adaptive sign language recognition (RLASLR), a framework designed to enhance sign language recognition (SLR) in smart home environments. RLASLR integrates deep reinforcement learning (DRL) to refine interpretation accuracy through four reinforcement-guided modules: the adaptive spatial fusion network (ASFNet); the spatial attention refinement engine; the semantic contextual enhancement mechanism; and the temporal consistency alignment network. These modules collectively optimize feature diversity, refine attention on salient sub-actions, enrich semantic context, and maintain temporal coherence. The deployment strategy adopts an actor–critic method, enabling RLASLR to adapt dynamically to user–environment feedback and changing smart home conditions. The novelty of this article lies in the custom reward function that jointly weights spatial, attentional, semantic, and temporal components, together with the validation of DRL-based sign language recognition (SLR) under diverse smart home conditions. Additionally, the study introduces new evaluation metrics such as Feature Diversity Enhancement, fusion mechanism adaptability, spatial attention map adjustment, feature relevance score and attention map consistency for a fine-grained assessment of robustness. Experimental results on the ISLAN and ISL-CSLR datasets demonstrate that RLASLR achieves superior accuracy and resilience to signer variability, lighting changes, and occlusion. These contributions mark a significant step toward practical, adaptive, and user-centric assistive technologies for individuals with hearing impairments.</t>
  </si>
  <si>
    <t xml:space="preserve">UPD-025</t>
  </si>
  <si>
    <t xml:space="preserve">UPD-026</t>
  </si>
  <si>
    <t xml:space="preserve">Digital Twins for Thermal Comfort and Energy Efficiency in Buildings: A Systematic Review</t>
  </si>
  <si>
    <t xml:space="preserve">Basunbul, A; Anwar, R; El Shafei, R; Baamer, A; Elkhateeb, S; Abouhassan, M</t>
  </si>
  <si>
    <t xml:space="preserve">10.3390/buildings16091715</t>
  </si>
  <si>
    <t xml:space="preserve">This systematic review builds upon 51 published empirical studies out of 354 studies that were published between 2020 and 2025 to assess the effectiveness of building-scale digital twins (DTs) in providing thermal comfort and energy efficiency, and improving the indoor environment and system reliability. The results show that there is a rapidly developing field focused on five thematic clusters: system architecture, artificial intelligence and machine learning (AI/ML)-driven control, human-centric engagement, predictive maintenance, and blockchain-enabled cybersecurity. Existing DT frameworks not only achieve real-time building information modeling (BIM)-Internet of Things (IoT) integration with prediction errors under 10%, but reinforcement learning controllers are also able to achieve 25-40% heating, ventilation, and air conditioning (HVAC) energy savings, and human-centric interfaces increase thermal satisfaction from 0.64 up to 1.2 Likert points. Predictive maintenance models have diagnostic accuracies of 91-97%, and new blockchain applications enhance data integrity, but largely at the prototype level. The cross-cluster convergence signifies the transition towards adaptive, socio-technical systems with an equilibrium of efficiency, comfort, reliability, and trust. The major weaknesses identified in this paper were a lack of longitudinal validation, climatic bias and ethical governance. A framework of a modular six-layer architecture is proposed after the review of 51 studies, which facilitates scalable, interoperable, and ethically robust DT deployments.</t>
  </si>
  <si>
    <t xml:space="preserve">UPD-027</t>
  </si>
  <si>
    <t xml:space="preserve">UPD-028</t>
  </si>
  <si>
    <t xml:space="preserve">DRL-Driven Robust Topology Control and Flow Scheduling for SDN-Enabled Underwater Acoustic Sensor Networks</t>
  </si>
  <si>
    <t xml:space="preserve">Y. Wang; N. Xia; X. Liu</t>
  </si>
  <si>
    <t xml:space="preserve">IEEE Internet of Things Journal</t>
  </si>
  <si>
    <t xml:space="preserve">10.1109/jiot.2026.3694395</t>
  </si>
  <si>
    <t xml:space="preserve">Node failures in underwater acoustic sensor networks (UASNs), caused by network attacks or energy depletion, can trigger cascading failures and compromise service quality. To address this, we propose a joint optimization scheme to enhance network robustness and prolong network lifetime. The network topology optimization is reformulated as an integer nonlinear problem, and a centralized control framework is developed based on software-defined networking (SDN). Within this framework, a scale-free topology evolution model is introduced to generate the initial topology, aiming to enhance the network’s robustness against random attacks. Subsequently, a robustness enhancement algorithm based on actor–critic deep reinforcement learning (DRL) is developed for the resulting topology. The agent interacts with the topological environment, learns and evaluates robustness under various topologies, and intelligently adjusts node links to enhance resistance to malicious attacks. Furthermore, we develop an SDN-enabled flow scheduling algorithm that balances traffic over multiple paths by minimizing the maximum energy pressure, thereby maximizing network lifetime. Numerical simulations show that the cascading robustness of our approach significantly outperforms state-of-the-art schemes, including DDLP, FA-SFTC, ETFLA, and Initial-BA, by 17.88%, 38.6%, 113.62%, and 117.71%, respectively. In terms of network lifetime, our scheme consistently improves upon FA-SFTC, DDLP, ETFLA, FAA, and VODA by 6%, 58.21%, 41.95%, 27.19%, and 149.65%, respectively.</t>
  </si>
  <si>
    <t xml:space="preserve">UPD-029</t>
  </si>
  <si>
    <t xml:space="preserve">Corpus INC-21</t>
  </si>
  <si>
    <t xml:space="preserve">ScienceDirect_citations_1788352803630_B.ris</t>
  </si>
  <si>
    <t xml:space="preserve">Building multi-energy systems (BMES), integrating electricity, thermal energy, natural gas, and hydrogen, are increasingly critical for future building energy infrastructure. Under high-impact, low-probability events, such as extreme weather and cascading failures, traditional optimization methods struggle to maintain the resilience of BMES in dynamic, uncertain environments. Deep reinforcement learning (DRL) offers significant potential for resilience enhancement through model-free, adaptive decision-making capabilities, yet systematic research integrating DRL, resilience, and multi-energy coupling at the building scale remains limited. This paper presents a structured survey of DRL applications for BMES resilience. We establish a taxonomy that maps six DRL paradigms to resilience tasks across the full disaster lifecycle, from preventive scheduling to post-event restoration, and provide a theoretical justification for each paradigm-task pairing based on decision time scale, action space characteristics, and safety constraint strictness. Critical analysis of the surveyed literature reveals two persistent gaps: most existing studies are validated primarily in simulation environments, with real-building field deployments remaining rare across the surveyed literature; and tightly coupled electricity-heat-gas-hydrogen resilience control remains insufficiently explored across current DRL paradigms. We further identify key challenges in practical deployment and discuss promising future research directions, aiming to provide useful guidance for BMES resilience research and help bridge the gap between academic studies and real-world engineering implementation.</t>
  </si>
  <si>
    <t xml:space="preserve">UPD-030</t>
  </si>
  <si>
    <t xml:space="preserve">UPD-031</t>
  </si>
  <si>
    <t xml:space="preserve">Human–Machine Learning System for Demand Side Management and Carbon Emission Control in Commercial Buildings</t>
  </si>
  <si>
    <t xml:space="preserve">J. Wang; D. K. Mishra; R. Zhu; W. Bai; K. Muttaqi; D. Sutanto; L. Li</t>
  </si>
  <si>
    <t xml:space="preserve">IEEE Transactions on Industrial Informatics</t>
  </si>
  <si>
    <t xml:space="preserve">10.1109/tii.2026.3652567</t>
  </si>
  <si>
    <t xml:space="preserve">Building energy consumption has taken up to 40% of global energy use, which substantially increases the resources for greenhouse gas emissions. Among various sectors, the commercial building sector is inevitably more favorable as the pioneer for decarbonization under the current power system structure due to the high peak electricity demand and inefficient energy management policy. This study investigates an efficient strategy for coordinating energy usage for commercial buildings to enhance the power system decarbonization and energy efficiency. First, this article introduces an Office Energy Management system for a grid-connected office building, incorporating electric vehicles, batteries, a lighting system, and a heating, ventilation, and air conditioning system. Then, an adjusted carbon emission flow model for dynamically tracking the carbon footprint is presented to fit the commercial building scenario. Finally, a novel human–machine learning (HML) system, combining human intelligence and reinforcement learning methods, is formulated to optimize energy management strategies. Unlike the traditional artificial intelligence technique, the HML paradigm enables humans and machines to collaborate at the energy management level, significantly improving algorithm performance. The proposed hybrid approach, using the HML method, offers up to 8.54% higher net benefits than the other state-of-the-art reinforcement approach.</t>
  </si>
  <si>
    <t xml:space="preserve">UPD-032</t>
  </si>
  <si>
    <t xml:space="preserve">Intelligent HVAC Control in Residential Buildings: A Review of Advanced Techniques and AI Applications</t>
  </si>
  <si>
    <t xml:space="preserve">Felez, R; Felez, J</t>
  </si>
  <si>
    <t xml:space="preserve">10.3390/app16042006</t>
  </si>
  <si>
    <t xml:space="preserve">Featured Application This review provides actionable insights for engineers, researchers, and building managers seeking to implement intelligent HVAC control in residential settings. Applications include energy-efficient heating and cooling, integration with renewable energy sources, and adaptive comfort management using AI-driven strategies such as MPC, DRL, and neural network-based prediction. The findings support practical deployment of hybrid control systems to reduce energy consumption, enhance occupant comfort, and enable grid-interactive smart homes.Abstract Increasing energy demand, decarbonization commitments, and growing expectations for thermal comfort are driving the need for more adaptive and efficient climate control in residential buildings. This review synthesizes contemporary intelligent HVAC control strategies, including model-predictive control (MPC), deep reinforcement learning (DRL), data-driven forecasting, and hybrid approaches. Following PRISMA guidelines, a set of studies published between 2010 and 2025 was systematically screened and analyzed to identify the dominant methodological trends, data requirements, implementation architectures, and evaluation practices reported in the literature. This review highlights how these methods differ in modeling assumptions, computational complexity, robustness to uncertainty, and suitability for residential environments characterized by stochastic occupancy and heterogeneous building stock. In addition, we examine enabling technologies such as sensing infrastructures, pricing signals, and embedded computation, as well as barriers to real-world deployment, including data availability, interpretability, and integration with existing building systems. The findings provide a consolidated framework for understanding the capabilities and limitations of intelligent HVAC control and outline research gaps that remain for achieving scalable, user-centered, and energy-efficient operation in residential buildings.</t>
  </si>
  <si>
    <t xml:space="preserve">UPD-033</t>
  </si>
  <si>
    <t xml:space="preserve">WoS; SD A; SD B</t>
  </si>
  <si>
    <t xml:space="preserve">IoT-DRL smart building control architecture</t>
  </si>
  <si>
    <t xml:space="preserve">NEXT ENERGY</t>
  </si>
  <si>
    <t xml:space="preserve">10.1016/j.nxener.2026.100672</t>
  </si>
  <si>
    <t xml:space="preserve">Substantially overlaps the included IET review by the same authors</t>
  </si>
  <si>
    <t xml:space="preserve">Close/full-text register — treatment: Excluded as overlapping review</t>
  </si>
  <si>
    <t xml:space="preserve">ScienceDirect_citations_1788352751138_A.ris; ScienceDirect_citations_1788352803630_B.ris; WoS_MAIN_UPDATE_2026-09.ris</t>
  </si>
  <si>
    <t xml:space="preserve">This paper examines the integration of deep reinforcement learning (DRL) and the Internet of Things (IoT) for optimizing energy management in smart buildings, with a focus on sustainable urban development. It explores how DRL, combined with real-time IoT sensor data, enhances energy performance by adapting to dynamic Heating, Ventilation, and Air Conditioning (HVAC), lighting, and renewable energy conditions. Key techniques, including genetic algorithms (GA), particle swarm optimization, and hybrid approaches, are critically analyzed for balancing energy consumption and renewable energy utilization in smart building systems. Privacy-preserving techniques and federated learning are discussed as effective approaches for addressing scalability and data protection challenges in IoT-enabled environments. Future research directions include edge computing and context-aware DRL to support more autonomous, user-centric, and environmentally responsive building operations. Overall, this review provides a structured roadmap for developing robust, privacy-aware artificial intelligence frameworks in smart buildings, highlighting their potential to reduce energy consumption and support broader sustainability objectives.</t>
  </si>
  <si>
    <t xml:space="preserve">UPD-034</t>
  </si>
  <si>
    <t xml:space="preserve">Leveraging Large Language Model for Generalization in Building Energy Management</t>
  </si>
  <si>
    <t xml:space="preserve">M. Zhang; M. Liu; H. Wang; Y. Wen; A. -L. Luo; Y. Zhang</t>
  </si>
  <si>
    <t xml:space="preserve">10.1109/tsg.2025.3589202</t>
  </si>
  <si>
    <t xml:space="preserve">Buildings are major contributors to global electricity consumption and emission, making the development of effective Building Energy Management Systems (BEMS) essential for improving energy efficiency, ensuring thermal comfort. Artificial Intelligence (AI)-based methods, particularly Deep Reinforcement Learning (DRL), have recently garnered significant attention in the BEMS. However, AI-based methods often face challenges related to generalization across diverse building environments. This paper introduces a novel approach for BEMS control, namely Sequence-Based Building Energy Modeling Framework (SeqBECMF), which models the energy management problem as a sequence modeling task. SeqBECMF leverages the power of large language model (LLM) to model long-term dependencies in building energy data. To further enhance adaptability across varying building environments, based on SeqBECMF, we propose the Building Adaptation Decision Transformer (BADT), which incorporates a building adapter module to scale actions based on specific environmental needs. BADT uses a generative pre-trained transformer (GPT) backbone to improve temporal modeling and represent diverse building conditions effectively. We evaluate the performance of the BADT framework on the CityLearn dataset and compare it to state-of-the-art DRL algorithms. Experimental results show that BADT consistently outperforms these DRL methods by minimizing key adverse metrics, including thermal discomfort hours, grid ramping, and electricity consumption. Moreover, BADT demonstrates strong generalization to unseen buildings, setting a new standard for scalable and adaptable BEMS solutions.</t>
  </si>
  <si>
    <t xml:space="preserve">UPD-035</t>
  </si>
  <si>
    <t xml:space="preserve">Machine Learning Algorithms and Sensor Technologies for Aging-In-Place Applications: A Review</t>
  </si>
  <si>
    <t xml:space="preserve">I. Habibovic; A. Almisreb; M. Hodzic; S. Turaev; A. Cantelli-Forti</t>
  </si>
  <si>
    <t xml:space="preserve">10.1109/jsen.2025.3591931</t>
  </si>
  <si>
    <t xml:space="preserve">The integration of artificial intelligence (AI) with wireless sensor networks (WSNs) has substantially advanced the capabilities of these systems to collect, process, and respond to large volumes of sensor data. Machine learning (ML) algorithms, a key component of AI, enable WSNs to detect patterns, trends, and anomalies, thereby enhancing their adaptability and performance in dynamic environments. One particularly impactful application is in aging-in-place systems, where elderly individuals can be continuously monitored for vital signs and daily activities, maintaining independence while benefiting from timely health and safety interventions. As the global elderly population grows, there is a pressing need for intelligent monitoring solutions to support independent living. This review aims to consolidate and critically evaluate existing ML algorithms and sensor technologies used in WSNs for aging-in-place applications. It introduces a structured taxonomy of ML approaches—including supervised, unsupervised, hybrid, and reinforcement learning (RL)—and presents a comparative analysis of wearable and environmental sensors. Unlike prior reviews, this work integrates technical performance evaluation with application-specific relevance, offering a unified view of algorithmic capabilities, sensor tradeoffs, and practical deployment challenges. Based on a systematic selection process, 124 peer-reviewed articles were analyzed. The review also identifies open research challenges, highlights limitations of current solutions, and proposes targeted future directions to guide the development of adaptive, reliable, and user-centered aging-in-place systems.</t>
  </si>
  <si>
    <t xml:space="preserve">UPD-036</t>
  </si>
  <si>
    <t xml:space="preserve">Machine Learning-Enabled 5G and 6G Networks: Methods, Challenges, and Opportunities</t>
  </si>
  <si>
    <t xml:space="preserve">Owais, M; Shongwe, T</t>
  </si>
  <si>
    <t xml:space="preserve">10.3390/app16042071</t>
  </si>
  <si>
    <t xml:space="preserve">Fifth-generation (5G) and sixth-generation (6G) wireless communications aim to achieve significantly higher data speeds, remarkably low latency, and substantial improvements in the efficiency of base stations. With the rapid increase in the utilization of broadband data driven by Internet of Things (IoT) gadgets, smart home systems, autonomous vehicles, and virtual reality devices, 5G and 6G networks are set to overcome the limitations of earlier telecommunication technologies and serve as key enablers for future IoT applications. Anticipated as the primary infrastructure for delivering emerging services, 5G cellular networks introduce new requirements and challenges that complicate the achievement of desired objectives. This paper provides a comprehensive overview of machine learning (ML) methods and their application in 5G and 6G wireless networks, covering supervised, unsupervised, and reinforcement learning (RL) approaches. ML is set to play a central and important role in 6G systems for these wireless networks. Subsequently, this paper thoroughly explores a series of challenges within the domain of 5G and 6G networks and examines research opportunities for applying ML techniques to address these challenges.</t>
  </si>
  <si>
    <t xml:space="preserve">UPD-037</t>
  </si>
  <si>
    <t xml:space="preserve">UPD-038</t>
  </si>
  <si>
    <t xml:space="preserve">Machine Learning for Outdoor Thermal Comfort Assessment and Optimization: Methods, Applications and Perspectives</t>
  </si>
  <si>
    <t xml:space="preserve">Mihalakakou, G; Paravantis, JA; Romeos, A; Malefaki, S; Georgiou, PN; Giannadakis, A</t>
  </si>
  <si>
    <t xml:space="preserve">10.3390/su18052600</t>
  </si>
  <si>
    <t xml:space="preserve">Urban environments face increasing thermal stress from climate change and the Urban Heat Island effect, with significant implications for livability, public health, and energy sustainability. Outdoor thermal comfort is defined as the state in which conditions are perceived as acceptable, depends on interactions among meteorological, morphological, physiological, and behavioral factors. This review synthesizes the application of machine learning (ML) to outdoor thermal comfort assessment into a practice-oriented taxonomy. Research spans diverse climates and urban forms, using inputs across environmental and human domains. Supervised learning dominates. Regression approaches (linear regression, support vector regression, random forest, gradient boosting) and classification algorithms (decision trees, support vector machines, K-nearest neighbors, Na &amp; iuml;ve Bayes, random forest classifiers) are widely used to predict thermal indices such as the Physiological Equivalent Temperature and Universal Thermal Climate Index, or to classify subjective responses including thermal sensation, comfort, and acceptability. Unsupervised learning (clustering, principal component analysis) supports identification of microclimatic zones and perceptual clusters, while deep learning (multilayer perceptrons, convolutional and recurrent neural networks, generative adversarial networks) achieves superior accuracy for complex, high-dimensional, and spatiotemporal data. Algorithms such as random forests, support vector machines, and gradient boosting consistently show strong performance for both indices and subjective responses when integrating multi-domain inputs. Semi-supervised and reinforcement learning remain underexplored but offer promise for leveraging large-scale sensor data and enabling adaptive, real-time comfort management. The review concludes with a roadmap emphasizing explainable artificial intelligence, scalable surrogate modeling, and integration with simulation-based optimization and parametric design tools.</t>
  </si>
  <si>
    <t xml:space="preserve">UPD-039</t>
  </si>
  <si>
    <t xml:space="preserve">Materials, performance, and control strategies for electrochromic windows: a review</t>
  </si>
  <si>
    <t xml:space="preserve">Wen, JN; Zhang, ZH; Fu, WK; Mao, W; Meng, X</t>
  </si>
  <si>
    <t xml:space="preserve">JOURNAL OF THERMAL ANALYSIS AND CALORIMETRY</t>
  </si>
  <si>
    <t xml:space="preserve">10.1007/s10973-026-15709-8</t>
  </si>
  <si>
    <t xml:space="preserve">Electrochromic smart windows can regulate solar radiation by reversibly changing visible and near-infrared transmittance under a small applied voltage, thereby reducing glare, solar heat gain, and lighting demand. Based on a Web of Science search from 2000 to 2025, this paper reviews 4000 bibliometric records and selected representative experimental and simulation studies on electrochromic glass materials, thermal performance, optical performance, electrical performance, and building control strategies. The results show that control strategy is a key factor determining whether electrochromic windows can simultaneously improve energy performance and visual comfort. Fixed strategies are simple but climate-dependent; rule-based strategies respond to irradiance, illuminance, temperature, or cooling-load thresholds; and algorithm-based strategies, especially model predictive control and reinforcement learning, can coordinate cooling, heating, lighting, glare, and switching constraints. This review therefore summarizes both material-performance characteristics and implementation-oriented control pathways, providing a reference for future building applications of electrochromic windows.</t>
  </si>
  <si>
    <t xml:space="preserve">UPD-040</t>
  </si>
  <si>
    <t xml:space="preserve">Already in corpus (INC-16); first identified in the original cumulative route</t>
  </si>
  <si>
    <t xml:space="preserve">UPD-041</t>
  </si>
  <si>
    <t xml:space="preserve">Multi-Zone HVAC Control With Model-Based Deep Reinforcement Learning</t>
  </si>
  <si>
    <t xml:space="preserve">X. Ding; A. Cerpa; W. Du</t>
  </si>
  <si>
    <t xml:space="preserve">IEEE Transactions on Automation Science and Engineering</t>
  </si>
  <si>
    <t xml:space="preserve">10.1109/tase.2024.3410951</t>
  </si>
  <si>
    <t xml:space="preserve">The application of reinforcement learning in controlling Heating, Ventilation, and Air Conditioning (HVAC) systems has been extensively researched. Existing studies primarily focus on Model-Free Reinforcement Learning (MFRL), which involves trial-and-error interactions with real buildings to train the agent. However, MFRL encounters a significant challenge: it requires a large amount of training data to achieve satisfactory performance. While simulation models have been used to generate training data and expedite the training process, they necessitate high-fidelity building models that are difficult to calibrate. As a result, Model-Based Reinforcement Learning (MBRL) has been employed for HVAC control. Although MBRL demonstrates remarkable sample efficiency, it often falls short in terms of asymptotic control performance, particularly in achieving substantial energy savings while ensuring occupants’ thermal comfort. In this study, we conduct experiments to analyze the limitations of current MBRL-based HVAC control methods, focusing on model uncertainty and controller effectiveness. Leveraging the insights gained from these experiments, we develop MB2C, an innovative MBRL-based HVAC control system that combines high control performance with exceptional sample efficiency. MB2C learns the dynamics of the building by employing an ensemble of environment-conditioned neural networks and utilizes a novel control method called Model Predictive Path Integral (MPPI) for HVAC control. MPPI generates candidate action sequences using an importance sampling weighted algorithm, which is well-suited for multi-zone buildings with high state and action dimensions. We evaluate MB2C using EnergyPlus simulations in a five-zone office building, and the results demonstrate that MB2C achieves 8.23% higher energy savings compared to the state-of-the-art MBRL solution while maintaining comparable thermal comfort. Moreover, MB2C significantly reduces the required training data set by an order of magnitude ( $10.52\times $ ) while delivering performance on par with MFRL approaches. Note to Practitioners—Our research addresses a critical challenge in HVAC control, offering an innovative solution to enhance the data efficiency of HVAC systems while optimizing energy usage. Traditional approaches, such as Model-Free Reinforcement Learning, often require a large volume of real-world data. Our primary focus is improving the effectiveness of HVAC control, a vital aspect of building management that directly affects energy consumption and occupant well-being. We introduce MB2C, a Model-Based Reinforcement Learning system designed to significantly improve energy savings while maintaining thermal comfort. MB2C achieves remarkable results, offering exceptional sample efficiency and substantially reducing the required training data. Our research leverages an ensemble of environment-conditioned neural networks and employs Model Predictive Path Integral in HVAC control. While MB2C presents notable benefits, it also has limitations. Further research and development are required to optimize its performance across different building environments and specific use cases. Future directions should focus on addressing the safety challenges associated with real-world deployment. Beyond HVAC control, the principles and methods explored in this research have potential applications in various automation domains, such as robotics, industrial automation, and manufacturing processes.</t>
  </si>
  <si>
    <t xml:space="preserve">UPD-042</t>
  </si>
  <si>
    <t xml:space="preserve">UPD-043</t>
  </si>
  <si>
    <t xml:space="preserve">Power-Aware Predictive Energy Management Integrating a Transformer-Based Hybrid Prediction Method for Fuel Cell Vehicles</t>
  </si>
  <si>
    <t xml:space="preserve">K. Li; H. He; J. Wu; Z. Wei; Z. Zhou; B. Xing</t>
  </si>
  <si>
    <t xml:space="preserve">10.1109/tte.2025.3594187</t>
  </si>
  <si>
    <t xml:space="preserve">Predictive energy management strategies (PEMSs) offer significant potential to improve the performance of electrified vehicles by optimizing energy allocation based on anticipated driving conditions. However, conventional PEMS depend predominantly on vehicle speed prediction as a surrogate for power demand, an indirect approach that struggles to capture the complexity of real-world energy requirements. To address this limitation, this study proposes a direct multistep power demand prediction framework for PEMS, integrating a Transformer-based predictor with a physical dynamics model. The Transformer predicts future acceleration and gradient sequences from historical driving data, which are then integrated into the physical model to directly estimate multistep power demand. These predictions are sent into a deep reinforcement learning (DRL) optimizer, enabling more effective energy management. The proposed framework was validated on a fuel cell electric vehicle across diverse road conditions, optimizing energy economy, component durability, and cabin comfort. Results show that our hybrid prediction method improves power prediction accuracy by 5.3% compared to state-of-the-art methods, while the proposed PEMS achieves 3.21%–5.62% better energy efficiency than existing speed- and gradient-based PEMS. Furthermore, it outperforms single-step power prediction methods by 2.28%–5.40%, highlighting its superior adaptability. Importantly, the proposed PEMS exhibits robust performance across multiobjective tasks, confirming its potential for real-world deployment.</t>
  </si>
  <si>
    <t xml:space="preserve">UPD-044</t>
  </si>
  <si>
    <t xml:space="preserve">UPD-045</t>
  </si>
  <si>
    <t xml:space="preserve">Already in corpus (INC-17); first identified in the original cumulative route</t>
  </si>
  <si>
    <t xml:space="preserve">UPD-046</t>
  </si>
  <si>
    <t xml:space="preserve">Reinforcement Learning for Data Center Cooling Performance Optimization: A Systematic Review and Gap Analysis for Deployment in Tropical Wet Climates</t>
  </si>
  <si>
    <t xml:space="preserve">Chong, Yung-Wey; Maloney, Michael; Ganesh, Viswanathan; Zuo, Wangda</t>
  </si>
  <si>
    <t xml:space="preserve">10.1016/j.enbuild.2026.118163</t>
  </si>
  <si>
    <t xml:space="preserve">Specialized data-centre cooling facility outside the occupied-building control scope</t>
  </si>
  <si>
    <t xml:space="preserve">Tropical wet climates represent a rapidly expanding share of global data center capacity, despite these regions being among the most thermodynamically challenging environments for data center operation, characterized by year-round high ambient temperatures and humidity. The applicability of existing research transferability to these climate contexts remains unestablished for data center cooling system performance optimization. This systematic review synthesizes 64 empirical studies published between 2021 and March 2026 on the application of reinforcement learning (RL) to data center cooling optimization, conducted in accordance with the PRISMA 2020 framework. Three research questions are addressed: the RL methods and efficiency outcomes reported across the literature; the climatic representativeness of the evidence base; and the methodological gaps limiting transferability to tropical deployment. Actor-critic off-policy approaches constitute the dominant algorithmic category, with reported energy savings spanning 2–52.7%. Power Usage Effectiveness (PUE) is reported in only 18 of 64 studies, Water Usage Effectiveness (WUE) in only 3, and Carbon Usage Effectiveness (CUE) in only 1, indicating substantive cross-study comparability limitations on energy, water, and carbon efficiency dimensions. A four-tier climate classification of all 64 included studies reveals that only 2 studies confirmed physical deployment under tropical wet ambient conditions consistent with ASHRAE Climate Zone 0A, while 50% of the evidence base derives from demonstrably non-tropical contexts. Five structured research gaps are identified: the absence of real tropical testbed evidence; the under representation of emerging cooling architectures; the absence of humidity control in RL formulations; the predominance of single-objective energy reward functions; and the absence of renewable energy integration in RL cooling control frameworks. These findings indicate that the existing literature does not yet provide a sufficient evidence base for confident RL-based cooling deployment in tropical data center facilities.</t>
  </si>
  <si>
    <t xml:space="preserve">UPD-047</t>
  </si>
  <si>
    <t xml:space="preserve">Reinforcement Learning for Optimizing Renewable Energy Utilization in Smart Grids: Recent Advances in Power Grids, Microgrids, and Building Energy Systems</t>
  </si>
  <si>
    <t xml:space="preserve">Michailidis, P; Minelli, F; Coban, HH; Michailidis, I; Kosmatopoulos, E</t>
  </si>
  <si>
    <t xml:space="preserve">INFRASTRUCTURES</t>
  </si>
  <si>
    <t xml:space="preserve">10.3390/infrastructures11070240</t>
  </si>
  <si>
    <t xml:space="preserve">The extensive deployment of renewable energy sources (RES) across modern energy infrastructure has introduced significant operational complexity, necessitating the development of advanced data-driven control strategies to ensure reliable and efficient system operation. Among these approaches, reinforcement learning (RL) has emerged as a promising paradigm for managing renewable generation and coordinating interconnected energy subsystems under uncertainty and dynamic operating conditions. The current paper presents a comprehensive review of RL-based control applications across RES-integrated energy domains, including power grids, microgrids, and building energy systems. The paper begins by outlining the fundamental characteristics of these smart grid energy environments along with the mathematical foundations of RL and its principal algorithmic families. A structured analysis of recent peer-reviewed studies is then conducted, with the literature systematically categorized according to the corresponding energy domain. A high number of impactful selected studies are further examined across multiple key dimensions, including RL methodologies, agent architectures, reward design, baseline control strategies, RES-integrated technologies, and control objectives. Based on this multi-dimensional evaluation, the review identifies emerging trends and highlights dominant design patterns across power grid, microgrid, and building-level applications. Finally, the observations are critically discussed and future research directions are outlined towards the development of scalable, practical, and reliable RL-based energy management solutions for next-generation smart grid systems.</t>
  </si>
  <si>
    <t xml:space="preserve">UPD-048</t>
  </si>
  <si>
    <t xml:space="preserve">Review of emerging smart techniques and their role in enhancing energy efficiency in residential and commercial buildings</t>
  </si>
  <si>
    <t xml:space="preserve">Agyekum, EB; Tarawneh, B; Praveenkumar, S; Odoi-Yorke, F; Rashid, FL</t>
  </si>
  <si>
    <t xml:space="preserve">ENERGY EXPLORATION &amp; EXPLOITATION</t>
  </si>
  <si>
    <t xml:space="preserve">10.1177/01445987261470169</t>
  </si>
  <si>
    <t xml:space="preserve">This review explores emerging smart technics in enhancing energy efficiency in commercial and residential buildings using systematic and bibliometric approaches from 1990 to 2024. According to the findings, the increase in internet of things applications, like AI and especially machine-learning applications, has enabled smarter buildings in recent years. The advancements of modern data analytics, predictive modelling, and real-time monitoring create a fair base for advancing into new paradigms for energy management. Energy yield prediction and building performance enhancements are ensured through machine-learning techniques, such as ensemble learning, neural networks, and support vector regression. The study found that deep reinforcement learning and fuzzy logic constitute those technologies that automate the consumption behaviors while perfectly balancing efficiency and comfort of occupants. According to the results, smart technologies offer better options toward energy efficiency but encounter major hurdles like poor internet availability, social acceptance, regulatory issues, high upfront cost, scaling issues, and data privacy. Real-time data coupled with smart technology systems should be combined to develop hybrid machine-learning models and predictive energy consumption models. For the attainment of energy efficiency goals, standardization of energy-efficient buildings and greening people's energy practices are key.</t>
  </si>
  <si>
    <t xml:space="preserve">UPD-049</t>
  </si>
  <si>
    <t xml:space="preserve">Already in corpus (INC-19); first identified in the original cumulative route</t>
  </si>
  <si>
    <t xml:space="preserve">Reinforcement learning is increasingly applied to Heating, Ventilation, and Air Conditioning control to balance energy efficiency with occupant comfort. However, the design of the reward function, crucial for managing this trade-off, remains a relatively underexplored topic in existing review literature. This paper addresses this gap through a systematic review of 79 studies published since 2020. We introduce a novel standardization methodology to enable a systematic comparison of the diverse reward formulations reported in the literature. The analysis reveals two primary findings: (1) a substantial heterogeneity in reward function structures, with 68 unique designs identified, a factor that severely impedes research comparability; and (2) a prevalent reliance on empirically derived weighting coefficients that often lack a clear theoretical basis. Furthermore, this study identifies and quantifies the usage patterns of four common design techniques: occupancy consideration, comfort deadbands, error exponentiation, and acceptable limits. Based on this comprehensive analysis, we propose a typical piecewise reward function structure that synthesizes common best practices and is grounded in established Heating, Ventilation, and Air Conditioning domain knowledge. This proposed structure is intended to serve as a foundational baseline, addressing the identified limitations and aiming to improve the comparability of future research in Reinforcement learning driven Heating, Ventilation, and Air Conditioning control.</t>
  </si>
  <si>
    <t xml:space="preserve">UPD-050</t>
  </si>
  <si>
    <t xml:space="preserve">Role of machine learning and deep learning in optimizing smart home energy management systems: Advancements and technical factors</t>
  </si>
  <si>
    <t xml:space="preserve">Mathangi, N; Malathi, S</t>
  </si>
  <si>
    <t xml:space="preserve">ENERGY EFFICIENCY</t>
  </si>
  <si>
    <t xml:space="preserve">10.1007/s12053-026-10439-0</t>
  </si>
  <si>
    <t xml:space="preserve">Smart Home Energy Management Systems (SHEMS) play a vital role in improving residential energy efficiency, reducing costs, and supporting the integration of renewable energy sources. This review systematically examines recent advancements in Machine Learning (ML) and Deep Learning (DL) techniques for optimizing SHEMS, covering studies published between 2018 and 2024. Using the PRISMA-based structured review methodology, 80 high-quality research articles are analysed to evaluate algorithmic performance, technical challenges, security considerations, and economic viability. The findings indicate that traditional ML models, such as Support Vector Machines (SVM), and regression techniques, remain effective for structured data and resource-constrained environments. However, DL approaches, including Long Short-Term Memory (LSTM), CNN-based hybrid models, and Deep Reinforcement Learning, consistently outperform conventional methods in real-time energy demand forecasting, adaptive load scheduling, and handling renewable energy intermittency, achieving prediction accuracies above 95% and energy savings of 25-40%. Hybrid models integrating ML/DL with metaheuristic optimization techniques further enhance system robustness and multi-objective optimization performance. The review also highlights growing attention to security and privacy, where advanced encryption and multi-factor authentication significantly improve protection, though implementation gaps remain. Economic analysis reveals that intelligent optimization improves long-term return on investment despite high initial costs. Overall, the study identifies key research gaps in benchmarking, scalability, security validation, and techno-economic assessment, providing directions for future intelligent and secure SHEMS deployment.</t>
  </si>
  <si>
    <t xml:space="preserve">UPD-051</t>
  </si>
  <si>
    <t xml:space="preserve">Sensor-Driven Deep Learning for Smart Home Intelligence: Signal Analysis, Multimodal Perception, and System-Level Applications</t>
  </si>
  <si>
    <t xml:space="preserve">Wu, CC; Yang, ZQ; Sun, T</t>
  </si>
  <si>
    <t xml:space="preserve">SENSORS</t>
  </si>
  <si>
    <t xml:space="preserve">10.3390/s26102993</t>
  </si>
  <si>
    <t xml:space="preserve">Smart home environments are evolving toward context-aware intelligent systems with the rapid integration of the Internet of Things (IoT), edge computing, and artificial intelligence. In such settings, large volumes of heterogeneous sensor data must be continuously processed to support perception, behavior understanding, and autonomous decision-making. Deep learning has emerged as a key approach for transforming raw sensor signals into structured representations that enable these functions. This review examines recent advances in deep learning for smart home applications from a sensor-driven perspective. Existing studies are organized into five major domains: human activity recognition, health monitoring and assisted living, smart energy management, security monitoring and anomaly detection, and voice interaction and intelligent control. Representative methodological paradigms-including convolutional and recurrent neural networks, Transformers, graph-based learning, multimodal fusion, and deep reinforcement learning-are discussed with emphasis on their roles in signal representation, multimodal integration, and decision-oriented modeling. Despite notable progress, several challenges continue to limit real-world deployment. These include the scarcity of high-quality labeled data, privacy and security concerns associated with continuous sensing, limited generalization across environments and users, constraints of edge devices, and the limited interpretability of model output. Addressing these issues requires advances not only in model design but also in data-efficient learning, privacy-preserving architectures, and system-level integration. Future research is expected to focus on multimodal perception, distributed and edge intelligence, knowledge-enhanced modeling, and human-centered explainable systems. By synthesizing current developments and highlighting open challenges, this review aims to support the development of robust and deployable deep learning solutions for next-generation smart home systems.</t>
  </si>
  <si>
    <t xml:space="preserve">UPD-052</t>
  </si>
  <si>
    <t xml:space="preserve">UPD-053</t>
  </si>
  <si>
    <t xml:space="preserve">Smart Elderly Healthcare Services in Industry 5.0: A Survey of Key Enabling Technologies and Future Trends</t>
  </si>
  <si>
    <t xml:space="preserve">X. Wang; L. Huang; D. Wang; L. Liu; P. Guo</t>
  </si>
  <si>
    <t xml:space="preserve">10.1109/access.2025.3596694</t>
  </si>
  <si>
    <t xml:space="preserve">This survey presents a comprehensive analysis of the transformative role of Industry 5.0 technologies in advancing smart elderly healthcare services, focusing on China’s evolving digital landscape. By examining the opportunities and challenges unique to China’s aging population in the context of rapid technological integration, the study outlines a system architecture that underpins next-generation elderly healthcare ecosystems. Central to this framework are five pivotal enabling technologies: the Internet of Things (IoT), Edge Computing, Service Robots, Big Data Analytics, and Digital Twin, each systematically explored to highlight their contributions to personalized, proactive, and decentralized elderly healthcare. The survey identifies critical application challenges, including interoperability gaps, ethical concerns in human-robot interaction, and data heterogeneity, while forecasting future trends poised to accelerate the adoption of Industry 5.0 principles. Emerging directions such as context-aware robotic collaboration, federated learning for privacy-preserving analytics, and metaverse-integrated digital twins are underscored as catalysts for sustainable, human-centric solutions. By bridging technological innovation with socio-ethical considerations, this work not only maps current advancements but also advocates for a paradigm shift toward empathetic, adaptive, and equitable elderly healthcare systems. The findings aim to inspire interdisciplinary collaboration among researchers, policymakers, and healthcare providers, fostering a transition to intelligent, dignity-preserving care models that align with the human-centered ethos of Industry 5.0.</t>
  </si>
  <si>
    <t xml:space="preserve">UPD-054</t>
  </si>
  <si>
    <t xml:space="preserve">UPD-055</t>
  </si>
  <si>
    <t xml:space="preserve">Sustainable building’s energy management with artificial intelligence and machine learning: A decadal scoping review (2014–2024)</t>
  </si>
  <si>
    <t xml:space="preserve">Ahmed, Nouman; Ding, Yuemin; Canti, Guido; Anglani, Norma</t>
  </si>
  <si>
    <t xml:space="preserve">10.1016/j.egyr.2026.109082</t>
  </si>
  <si>
    <t xml:space="preserve">Artificial Intelligence (AI) and Machine Learning (ML) are transforming energy management in buildings by enabling data-driven prediction, optimization, and real-time control. This scoping review synthesized the state of the art in this field over the past decade (2014–2024), based on a structured search of peer-reviewed studies. The review classified AI/ML applications, according to features like: forecasting horizons, algorithm families (classical ML, deep learning, hybrid/ensemble, reinforcement learning), building categories (residential, commercial, healthcare), and integration levels (standalone, IoT-enabled, microgrid-enabled). The analysis of 100+ comparative studies showed that ensemble and hybrid methods frequently outperform single algorithm methods, however, performance gains vary considerably depending on data quality, forecasting horizon, and building operational characteristics. Key challenges remain in data standardization, balance between model complexity and interpretability, privacy, and scalability from individual buildings to urban districts. Emerging opportunities were highlighted at the intersection of AI with digital twins, IoT, and transfer learning, which support small data contexts and real time adaptation. By bridging technical advances with practical challenges, this work aims at informing the scientific community, working towards intelligent, sustainable, and efficient energy management in buildings, by supporting with a clear classification of AI/ML techniques and their most promising applications across different building types.</t>
  </si>
  <si>
    <t xml:space="preserve">UPD-056</t>
  </si>
  <si>
    <t xml:space="preserve">UPD-057</t>
  </si>
  <si>
    <t xml:space="preserve">Towards Net-Zero Buildings: A Review of Artificial Intelligence, Energy Efficiency, and Renewable Energy Systems</t>
  </si>
  <si>
    <t xml:space="preserve">Ba-Alawi, AH; Gassar, AAA</t>
  </si>
  <si>
    <t xml:space="preserve">10.3390/app16168111</t>
  </si>
  <si>
    <t xml:space="preserve">The building sector is one of the largest contributors to global energy demand and carbon emissions, making the transition to net-zero buildings (NZBs) a critical component of climate change mitigation strategies. However, the persistent building energy performance gap (BEPG), defined as the discrepancy between predicted and actual energy consumption, continues to hinder the achievement of net-zero operational performance. Accordingly, this review examines the role of artificial intelligence (AI) in enabling NZBs through the integration of energy-efficient building systems, renewable energy technologies, and intelligent operational control. A comprehensive review of the literature published between 2018 and 2025 was conducted, focusing on three complementary domains: heating, ventilation, and air conditioning (HVAC) system efficiency as the demand-side pillar, renewable energy integration as the supply-side pillar, and AI as the enabling layer connecting both domains. Synthesis of the reviewed literature reveals that demand-side HVAC technologies achieve energy savings ranging from 20% to 67%, while supply-side renewable energy integration increases photovoltaic (PV) self-consumption by 11-13%. Furthermore, AI-driven optimization, particularly through reinforcement learning (22.3% +/- 8.4% energy savings) and digital twins (up to 70% renewable energy utilization), substantially enhances building performance within integrated energy management frameworks. The reviewed studies further demonstrate that AI techniques, including machine learning, deep learning, reinforcement learning, and digital twins, enable accurate energy forecasting (R-2 &gt; 0.90), intelligent operational control, and effective coordination of integrated PV-battery energy storage system-electric vehicle systems, improving building energy flexibility and reducing grid fluctuations by up to 12.78%. Despite these advances, challenges related to data quality, interoperability, model explainability, cybersecurity, and limited large-scale real-world validation remain significant barriers to widespread adoption. Overall, the evidence indicates that AI serves as a key enabler for reducing the BEPG and improving the reliability, resilience, and operational efficiency of NZBs, thereby supporting the transition toward intelligent, low-carbon built environments.</t>
  </si>
  <si>
    <t xml:space="preserve">UPD-058</t>
  </si>
  <si>
    <t xml:space="preserve">Toward sustainable PV–EV integrated smart homes: A critical review and data-driven reinforcement learning–enabled cyber–physical framework</t>
  </si>
  <si>
    <t xml:space="preserve">Ranjbar, Mohammad Ali; Mohammadi, Benyamin; Baghaee, Hamid Reza; Haghifam, Mahmood-Reza</t>
  </si>
  <si>
    <t xml:space="preserve">Energy Strategy Reviews</t>
  </si>
  <si>
    <t xml:space="preserve">10.1016/j.esr.2026.102303</t>
  </si>
  <si>
    <t xml:space="preserve">The review synthesis is organized around PV--EV/grid-interactive smart-home integration; RL is principally an enabling component of the proposed framework rather than the central review subject</t>
  </si>
  <si>
    <t xml:space="preserve">The accelerating adoption of rooftop photovoltaic (PV) systems and residential electric vehicles (EVs) is reshaping households into active energy prosumers, intensifying the need for intelligent and sustainable Smart Home Energy Management Systems (SHEMS). Despite extensive research on optimization- and machine learning–based control, existing studies remain fragmented, often focusing on algorithmic performance while overlooking cyber–physical integration, scalability, and system-level sustainability. This paper presents a critical review of PV–EV integrated SHEMS from a control-oriented and sustainability-driven perspective. The literature is systematically analyzed across architectural paradigms, uncertainty modeling, energy storage coordination, EV charging strategies, and reinforcement learning (RL) applications. The review identifies a persistent gap between advanced learning algorithms and deployable, grid-interactive residential implementations aligned with decarbonization objectives. To bridge this gap, a reinforcement learning–enabled cyber–physical framework is proposed that integrates data-driven forecasting, structured state–action modeling, degradation-aware reward design, and hierarchical coordination of PV, ESS, and EV resources. The proposed framework emphasizes transparency, computational feasibility, and compatibility with real-time operation. By linking algorithmic intelligence to renewable integration, peak demand mitigation, and emission-reduction goals, this work outlines a scalable pathway toward resilient, sustainability-oriented PV–EV-integrated smart homes.</t>
  </si>
  <si>
    <t xml:space="preserve">UPD-059</t>
  </si>
  <si>
    <t xml:space="preserve">Utilizing Building Automation Systems for Indoor Environmental Quality Optimization: A Review of the Current Literature, Challenges, and Opportunities</t>
  </si>
  <si>
    <t xml:space="preserve">Zeng, QH; Shagar, M; Fatemifar, K; Pishdad, P; Yang, EH</t>
  </si>
  <si>
    <t xml:space="preserve">10.3390/buildings16061267</t>
  </si>
  <si>
    <t xml:space="preserve">Indoor Environmental Quality (IEQ) plays a vital role in occupant health and productivity. However, current Building Management Systems (BMS) often struggle in sustaining optimal IEQ levels due to limitations in data management and lack of occupant-centric feedback loops. To address these gaps, this research synthesizes the state-of-the-art methods for IEQ monitoring, assessment, and control within Building Automation Systems (BAS), identifying both technological and methodological advancements, as well as highlighting the challenges and potential opportunities for future innovations. Employing the Preferred Reporting Items for Systematic Reviews and Meta-Analyses (PRISMA) methodology, this multi-stage literature review analyzes 176 publications from 1997 to 2024, with a focus on the decade of rapid technological evolution from 2014 to 2024. The review focuses on high-impact journals indexed in Scopus to ensure quality while acknowledging the potential bias inherent in a single-database search. The synthesis reveals a methodological shift in monitoring from sparse, zone-level sensing towards dense, multi-modal systems that incorporate physiological data via wearables and behavioral recognition through computer vision. Assessment techniques are evolving from static models such as the Predicted Mean Vote (PMV) towards adaptive, personalized frameworks supported by Digital Twins and integrated simulations. Furthermore, control logic is transitioning toward Reinforcement Learning and Model Predictive Control to proactively manage occupancy surges and environmental variables. This evolution of monitoring approaches, assessment techniques, and control strategies is represented within the study's Three-Tiered Developmental Trajectory, providing a novel Body of Knowledge (BOK) for mapping the transition of building systems from reactive tools to autonomous, occupant-centric agents. This study also introduces a Cross-Modal Interaction Matrix to systematically analyze the systemic trade-offs between IEQ domains. Furthermore, by establishing the "Implementation Frontier," this work identifies the specific technical and ethical bottlenecks, such as "false vacancy" sensing errors, fragmented data silos, and the ethical complexities of high-resolution data collection that prevent academic innovations from becoming industry standards. To bridge these gaps, we conclude that the next generation of "cognitive buildings" must prioritize three pillars: resolving binary sensing limitations, harmonizing data via vendor-neutral APIs, and adopting privacy-preserving architectures to ensure scalable, interoperable, and occupant-centric optimization.</t>
  </si>
  <si>
    <t xml:space="preserve">Close/Full-Text Exclusions and Primary Reasons</t>
  </si>
  <si>
    <t xml:space="preserve">Treatment</t>
  </si>
  <si>
    <t xml:space="preserve">Nagy et al.</t>
  </si>
  <si>
    <t xml:space="preserve">Original record reassessment</t>
  </si>
  <si>
    <t xml:space="preserve">Michailidis et al.</t>
  </si>
  <si>
    <t xml:space="preserve">RL is one of several model-free control approaches</t>
  </si>
  <si>
    <t xml:space="preserve">Review and Evaluation of Multi-Agent Control Applications for Energy Management in Buildings</t>
  </si>
  <si>
    <t xml:space="preserve">10.3390/en17194835</t>
  </si>
  <si>
    <t xml:space="preserve">Supplementary citation trail</t>
  </si>
  <si>
    <t xml:space="preserve">Multi-agent control is central; MPC, RL, and hybrid approaches are reviewed together</t>
  </si>
  <si>
    <t xml:space="preserve">Khabbazi et al.</t>
  </si>
  <si>
    <t xml:space="preserve">MPC and RL results are pooled and RL-specific evidence is not separable</t>
  </si>
  <si>
    <t xml:space="preserve">Gunay et al.</t>
  </si>
  <si>
    <t xml:space="preserve">RL is one of six application domains and is not the central review subject</t>
  </si>
  <si>
    <t xml:space="preserve">Sajid et al.</t>
  </si>
  <si>
    <t xml:space="preserve">Expanded sensitivity search</t>
  </si>
  <si>
    <t xml:space="preserve">Excluded; contextual sensitivity evidence</t>
  </si>
  <si>
    <t xml:space="preserve">Amer et al.</t>
  </si>
  <si>
    <t xml:space="preserve">Mazhar et al.</t>
  </si>
  <si>
    <t xml:space="preserve">Excluded as overlapping review</t>
  </si>
  <si>
    <t xml:space="preserve">Chong et al.</t>
  </si>
  <si>
    <t xml:space="preserve">Ranjbar et al.</t>
  </si>
  <si>
    <t xml:space="preserve">Intelligent Harmony: Harnessing Deep Reinforcement Learning for Smart Home Energy Management</t>
  </si>
  <si>
    <t xml:space="preserve">Ganjian et al.</t>
  </si>
  <si>
    <t xml:space="preserve">Supplementary publisher search</t>
  </si>
  <si>
    <t xml:space="preserve">Published as Original Research and does not provide a sufficiently focused review synthesis for tertiary coding</t>
  </si>
  <si>
    <t xml:space="preserve">Relevant Evidence Outside the 22-Review Quantitative Core</t>
  </si>
  <si>
    <t xml:space="preserve">Type/scope</t>
  </si>
  <si>
    <t xml:space="preserve">Expert synthesis</t>
  </si>
  <si>
    <t xml:space="preserve">Used qualitatively; not part of the 22-review denominator</t>
  </si>
  <si>
    <t xml:space="preserve">Mixed MPC/RL review</t>
  </si>
  <si>
    <t xml:space="preserve">Used qualitatively; RL-specific evidence not separable for coding</t>
  </si>
  <si>
    <t xml:space="preserve">Zhang et al.</t>
  </si>
  <si>
    <t xml:space="preserve">10.1109/EPEC48502.2020.9320042</t>
  </si>
  <si>
    <t xml:space="preserve">Conference review</t>
  </si>
  <si>
    <t xml:space="preserve">Contextual only; journal-review criterion</t>
  </si>
  <si>
    <t xml:space="preserve">Ibrar et al.</t>
  </si>
  <si>
    <t xml:space="preserve">10.1109/IWCMC61514.2024.10592593</t>
  </si>
  <si>
    <t xml:space="preserve">Conference survey</t>
  </si>
  <si>
    <t xml:space="preserve">Contextual only; publication type and RL centrality</t>
  </si>
  <si>
    <t xml:space="preserve">Can reinforcement learning move beyond hype in building control?</t>
  </si>
  <si>
    <t xml:space="preserve">Haq et al.</t>
  </si>
  <si>
    <t xml:space="preserve">10.59717/j.xinn-energy.2026.100150</t>
  </si>
  <si>
    <t xml:space="preserve">Peer-reviewed letter</t>
  </si>
  <si>
    <t xml:space="preserve">Contextual only; not a full review</t>
  </si>
  <si>
    <t xml:space="preserve">Mixed multi-sector systematic review</t>
  </si>
  <si>
    <t xml:space="preserve">Contextual sensitivity evidence; excluded from denominator</t>
  </si>
  <si>
    <t xml:space="preserve">All Raw Database Occurrences Across the Three Search Routes</t>
  </si>
  <si>
    <t xml:space="preserve">Occurrence ID</t>
  </si>
  <si>
    <t xml:space="preserve">Source file</t>
  </si>
  <si>
    <t xml:space="preserve">Record no.</t>
  </si>
  <si>
    <t xml:space="preserve">Keywords</t>
  </si>
  <si>
    <t xml:space="preserve">RAW-001</t>
  </si>
  <si>
    <t xml:space="preserve">Buildings; Data models; HVAC; Load modeling; Reinforcement learning; Safety; Training; reinforcement learning; Artificial intelligence; Machine learning; HVAC systems; building microgrids; deep reinforcement learning (DRL); energy management; Internet of Things; Internet of Things (IoT); Microgrids; Optimization; smart buildings; Smart buildings; uncertainty; Building energy management; Computational modeling; Costs; data-driven control; Energy management; model predictive control; Predictive control; Predictive models; Automation; Building energy management systems; building management system; energy consumption; Energy consumption; Energy management systems; energy savings; energy-use prediction; Monitoring; Task analysis; Batteries; Deep reinforcement learning; Deep reinforcement learning (DRL); Fuel cells; hybrid-electric powertrain; learning-based control; Mechanical power transmission; real-world deployment; Transportation; artificial intelligence (AI); building automation; energy efficiency; Energy efficiency; Heating systems; HVAC control systems; occupancy detection; Sustainable development; thermal comfort; Decentralized control; Demand response; Electricity; Fossil fuels; microgrids; Pricing; Real-time systems; Renewable energy sources; Surveys; deep reinforcement learning; Distributed power generation; optimization; power system operation and control; Power systems; Smart meters; Systems operation; Uncertainty; Cogeneration; constrained deep reinforcement learning; constrained policy optimization; Knowledge based systems; mixed-integer quadratic programming; Multi-energy communities; Quadratic programming; Stochastic processes; Architecture; Computer architecture; energy storage systems; Engines; Generators; Power system stability; Propulsion; uncertainty models; Decision making; Frequency regulation; Heuristic algorithms; Markov processes; Mathematical models; Power system dynamics; smart grid; voltage control; Data-driven methods; electric vehicles; Hybrid electric vehicles; Ice; intelligent energy management strategy; powertrain architecture; Climate change; Combustion; deep learning; Dynamic programming; Electric motors; Energy management strategies; Fuels; hybrid electric vehicles; Hybrid power systems; offline and online control strategies; optimization-based; plug-in hybrid; rule-based; Artificial neural networks; Distributed energy resources; hierarchical control; microgrid control; Prediction algorithms; Adaptation models; automotive cyber security; experimental test progress; Hybrid electric vehicle; intelligent learning algorithm; intelligent transportation; Q-learning; Electric vehicle charging; Global warming; machine learning; management; smart grids; Vehicle-to-grid; Consensus; energy management system (EMS); Optimization methods; Scalability; supervised learning; Electric potential; energy management strategy (EMS); Energy storage; energy storage sources; FCHEV issues; Fuel cell hybrid electric vehicle (FCHEV); Hydrogen; powertrain configuration; Protons; Supercapacitors; architecture; Microgrid; multi-microgrid system; Reliability; uncertainties; Deep learning; power system; Degradation; Electric vehicles (EVs); energy management strategies (EMSs); hybrid energy storage systems (HESSs); Market research; reinforcement learning (RL); Reviews; Topology; Voltage control; Big Data; big data analytics; machine learning (ML); Robot sensing systems; smart homes; Smart homes; the Internet of Things (IoT); Learning (artificial intelligence); Neural networks; Smart grids; Electric vehicle charging station; Markov decision process; microgrid; Power control; Power system management; Schedules; Tariffs; Automotive systems; blended; casual; electric and hybrid electric vehicles; electrified powertrains; electronic control unit; energy management system; hardware-in-the-loop; Medical services; practical implementation; premeditated; real-life drive scenario; real-time; software-in-the-loop; operational planning; Phasor measurement units; Power system measurements; power system operation; real-time operation; real-world deployment and roadmap; safe reinforcement learning (RL); security control; direct yaw control; electric vehicle; Electric vehicles; Force; Torque; torque vectoring; vehicle dynamics; Vehicle dynamics; Wheels; battery; Energy management system; hybrid energy storage system; Lithium; real-time implementation; solar PV; State of charge; supercapacitor; control; distributed generation; energy storage; environment; Power system reliability; renewable energy; Aerospace electronics; Convergence; Hierarchical control; model-free; Stability analysis; Control systems; Deep Reinforcement Learning; Dynamical systems; Hybrid Control Strategies; Industries; Model-Free Control; Optimization in Control Systems; RL algorithms; Robot kinematics; Space vehicles; Autonomous underwater vehicles (AUV); centralized training with decentralized execution (CTDE); Collaboration; data collection; Data collection; multi-agent deep deterministic policy gradient (MADDPG); multi-agent proximal policy optimization (MAPPO); multi-agent reinforcement learning (MARL); multi-AUV coordination; Navigation; Oceans; Sensors; Taxonomy; Cloud computing; Data privacy; Distributed computing; distributed energy; domestic energy consumption; edge computing; Edge computing; edge intelligence; hybrid renewable energy systems; Internet of Energy; power systems; renewable energy sources; residential energy consumption; Security; sustainable development; systems architecture; Systems architecture; trustworthiness; user data privacy; demand side management; Economics; energy optimization; Forecasting; Greenhouses; IoT in agriculture; load forecasting; Pipelines; smart greenhouse; Analytical models; Data-driven techniques; Digital systems; energy service; federated learning; Federated learning; Servers; Collective intelligence; distributed cooperation; modern power systems; multi-agent; dynamic populations; electricity markets; Electricity supply industry; evolutionary games; Game theory; Games; multi-agent system; Multi-agent systems; Social factors; Statistics; bibliometrics; co-occurrence analysis; literature analysis; PEMFC system control strategy; proton exchange membrane fuel cell (PEMFCV); Demand-side management; Distribution networks; energy flexibility; heat pumps; Heat pumps; power distribution systems; Resistance heating; Space heating; Water heating; Biological system modeling; Data integration; Digital twins; modeling; photovoltaic power systems; solar energy; Solar energy; cyber physical systems; intelligent computing algorithm; Quality of Service(QoS); Smart cities; smart city; Sociology; Urban areas; Green energy; Green products; intelligent control; Rail transportation; Rails; railway systems; Thermal stability; Collaborative work; deep neural networks; distributed and federated learning; Smart grid; Hardware; Resource management; Business; computer vision; Ethics; Fraud; insurance; Insurance; natural language processing; Natural language processing; real estate; Risk management; artificial intelligence; Complexity theory; Databases; hybrid ac/dc microgrid; Power electronics; Cooling; Multicore processing; multicore systems; neural networks; on-chip resource management; Power demand; power management; thermal management; Thermal management; body control unit; electrical power steering; Electronic control unit; electronic stability control; Steering systems; vehicle control unit; centralized and decentralized control; Discrete cosine transforms; distributed generators; Energy sustainability; hybrid microgrid; Photovoltaic systems; Solar power generation; wind; Conferences; decentralization; decentralized control; distributed control; hierarchical systems; Open Access; primary control; Resilience; secondary control; tertiary control; battery management; Estimation; Microprocessors; state of charge estimation order; state of charge management; end-to-end delay; Green design; green Internet of Things; network overhead; Privacy; route interruption; security and privacy; Decision-making strategies; Multi-objectives optimization; Multi-objectives reinforcement learning; Smart building; Systematic review; Model predictive control; Building energy; Occupant behavior; hybrid control strategies; model-free control; optimization in control systems; hardware-in-the-loop, practical implementation; Capacitors; Circuits; Feeds; Filtering; Filters; grid-forming control; Oscillators; Power capacitors; System-on-chip; vehicle-to-grid; Voltage multipliers; advanced metering infrastructure; affordable and clean energy; Communication systems; Computer networks; Decision Tree; Electricity theft; Electronic mail; Feedback; industry; innovation and infrastructure; Internet; K-Nearest Neighbours; Logistic Regression; non-technical losses; power distribution; Product lifecycle management; Random Forest; Receivers; reduced inequalities; sustainable cities and communities; Telecommunications; XGBoost; HVAC control; Building Energy System; Heating; ML; RL; Building thermal performance regulation; Modelling techniques; Artificial intelligence (AI) technique; Black-box modeling; Building energy performance forecasting (BEPF); Hybrid-driven; Physics-based modeling; Real-time adaptability; Thermal properties of materials; Weather impact; Dynamic power Dispatch; Renewable energy; Techno-economic-environmental performance; Energy consumption reduction; Supervised learning; Use case study; Warehouse HVAC systems; Airflow organization; Data center; Dynamic thermal environment management; Energy-saving; Smart technologies; Meta reinforcement learning</t>
  </si>
  <si>
    <t xml:space="preserve">RAW-002</t>
  </si>
  <si>
    <t xml:space="preserve">RAW-003</t>
  </si>
  <si>
    <t xml:space="preserve">RAW-004</t>
  </si>
  <si>
    <t xml:space="preserve">RAW-005</t>
  </si>
  <si>
    <t xml:space="preserve">RAW-006</t>
  </si>
  <si>
    <t xml:space="preserve">Reinforcement learning; Machine learning; HVAC systems; Optimization; Markov decision process; Building energy; Meta reinforcement learning</t>
  </si>
  <si>
    <t xml:space="preserve">RAW-007</t>
  </si>
  <si>
    <t xml:space="preserve">reinforcement learning; Machine learning; deep reinforcement learning; Uncertainty; Power system stability; smart grid; Deep learning; Learning (artificial intelligence); Neural networks; Smart grids</t>
  </si>
  <si>
    <t xml:space="preserve">RAW-008</t>
  </si>
  <si>
    <t xml:space="preserve">RAW-009</t>
  </si>
  <si>
    <t xml:space="preserve">RAW-010</t>
  </si>
  <si>
    <t xml:space="preserve">RAW-011</t>
  </si>
  <si>
    <t xml:space="preserve">RAW-012</t>
  </si>
  <si>
    <t xml:space="preserve">RAW-013</t>
  </si>
  <si>
    <t xml:space="preserve">RAW-014</t>
  </si>
  <si>
    <t xml:space="preserve">RAW-015</t>
  </si>
  <si>
    <t xml:space="preserve">RAW-016</t>
  </si>
  <si>
    <t xml:space="preserve">RAW-017</t>
  </si>
  <si>
    <t xml:space="preserve">RAW-018</t>
  </si>
  <si>
    <t xml:space="preserve">RAW-019</t>
  </si>
  <si>
    <t xml:space="preserve">RAW-020</t>
  </si>
  <si>
    <t xml:space="preserve">RAW-021</t>
  </si>
  <si>
    <t xml:space="preserve">RAW-022</t>
  </si>
  <si>
    <t xml:space="preserve">HVAC; Reinforcement learning; Machine learning; Cooling; Building Energy System; Heating; ML; RL</t>
  </si>
  <si>
    <t xml:space="preserve">RAW-023</t>
  </si>
  <si>
    <t xml:space="preserve">Machine learning; Energy storage; Demand-side management; Dynamic power Dispatch; Renewable energy; Techno-economic-environmental performance</t>
  </si>
  <si>
    <t xml:space="preserve">RAW-024</t>
  </si>
  <si>
    <t xml:space="preserve">Reinforcement learning; Energy consumption reduction; Supervised learning; Use case study; Warehouse HVAC systems</t>
  </si>
  <si>
    <t xml:space="preserve">RAW-025</t>
  </si>
  <si>
    <t xml:space="preserve">Airflow organization; Data center; Dynamic thermal environment management; Energy-saving; Smart technologies</t>
  </si>
  <si>
    <t xml:space="preserve">RAW-026</t>
  </si>
  <si>
    <t xml:space="preserve">RAW-027</t>
  </si>
  <si>
    <t xml:space="preserve">Buildings; HVAC; Reinforcement learning; Artificial intelligence; building microgrids; deep reinforcement learning (DRL); energy management; Internet of Things; Internet of Things (IoT); Microgrids; Optimization; smart buildings; Smart buildings; uncertainty</t>
  </si>
  <si>
    <t xml:space="preserve">RAW-028</t>
  </si>
  <si>
    <t xml:space="preserve">RAW-029</t>
  </si>
  <si>
    <t xml:space="preserve">RAW-030</t>
  </si>
  <si>
    <t xml:space="preserve">RAW-031</t>
  </si>
  <si>
    <t xml:space="preserve">RAW-032</t>
  </si>
  <si>
    <t xml:space="preserve">RAW-033</t>
  </si>
  <si>
    <t xml:space="preserve">RAW-034</t>
  </si>
  <si>
    <t xml:space="preserve">RAW-035</t>
  </si>
  <si>
    <t xml:space="preserve">RAW-036</t>
  </si>
  <si>
    <t xml:space="preserve">RAW-037</t>
  </si>
  <si>
    <t xml:space="preserve">RAW-038</t>
  </si>
  <si>
    <t xml:space="preserve">RAW-039</t>
  </si>
  <si>
    <t xml:space="preserve">RAW-040</t>
  </si>
  <si>
    <t xml:space="preserve">RAW-041</t>
  </si>
  <si>
    <t xml:space="preserve">RAW-042</t>
  </si>
  <si>
    <t xml:space="preserve">RAW-043</t>
  </si>
  <si>
    <t xml:space="preserve">RAW-044</t>
  </si>
  <si>
    <t xml:space="preserve">RAW-045</t>
  </si>
  <si>
    <t xml:space="preserve">RAW-046</t>
  </si>
  <si>
    <t xml:space="preserve">RAW-047</t>
  </si>
  <si>
    <t xml:space="preserve">RAW-048</t>
  </si>
  <si>
    <t xml:space="preserve">RAW-049</t>
  </si>
  <si>
    <t xml:space="preserve">RAW-050</t>
  </si>
  <si>
    <t xml:space="preserve">RAW-051</t>
  </si>
  <si>
    <t xml:space="preserve">RAW-052</t>
  </si>
  <si>
    <t xml:space="preserve">RAW-053</t>
  </si>
  <si>
    <t xml:space="preserve">RAW-054</t>
  </si>
  <si>
    <t xml:space="preserve">RAW-055</t>
  </si>
  <si>
    <t xml:space="preserve">RAW-056</t>
  </si>
  <si>
    <t xml:space="preserve">RAW-057</t>
  </si>
  <si>
    <t xml:space="preserve">Reinforcement learning; Machine learning; Building control; Heating ventilation and air-conditioning (HVAC); Model predictive control (MPC)</t>
  </si>
  <si>
    <t xml:space="preserve">RAW-058</t>
  </si>
  <si>
    <t xml:space="preserve">HVAC; Reinforcement learning; Energy efficiency; Smart building; Intelligent building; Learning</t>
  </si>
  <si>
    <t xml:space="preserve">RAW-059</t>
  </si>
  <si>
    <t xml:space="preserve">RAW-060</t>
  </si>
  <si>
    <t xml:space="preserve">Reinforcement learning; Energy efficiency; Smart building; Occupant behavior; Building control</t>
  </si>
  <si>
    <t xml:space="preserve">RAW-061</t>
  </si>
  <si>
    <t xml:space="preserve">Reinforcement learning; Machine learning; Optimization; Building controls; Building performance</t>
  </si>
  <si>
    <t xml:space="preserve">RAW-062</t>
  </si>
  <si>
    <t xml:space="preserve">Open AI Gym</t>
  </si>
  <si>
    <t xml:space="preserve">RAW-063</t>
  </si>
  <si>
    <t xml:space="preserve">Reinforcement learning; Energy consumption; Intelligent buildings</t>
  </si>
  <si>
    <t xml:space="preserve">RAW-064</t>
  </si>
  <si>
    <t xml:space="preserve">Energy efficiency; Thermal comfort; Dynamic indoor environment; HVAC controls; Reinforcement Learning; Temperature drifting</t>
  </si>
  <si>
    <t xml:space="preserve">RAW-065</t>
  </si>
  <si>
    <t xml:space="preserve">Smart Buildings; Building Automation; Energy-Comfort Trade-off; Multi-objective Optimization; Occupant Comfort; PMV (Predicted Mean Vote); Reward Shaping</t>
  </si>
  <si>
    <t xml:space="preserve">RAW-066</t>
  </si>
  <si>
    <t xml:space="preserve">Reinforcement learning; Digital twin; Ethics in AI; Occupant comfort; Smart building control</t>
  </si>
  <si>
    <t xml:space="preserve">RAW-067</t>
  </si>
  <si>
    <t xml:space="preserve">Reinforcement learning; Energy management; Markov decision process; Building-Integrated Photovoltaic; Scheduling optimization</t>
  </si>
  <si>
    <t xml:space="preserve">RAW-068</t>
  </si>
  <si>
    <t xml:space="preserve">RAW-069</t>
  </si>
  <si>
    <t xml:space="preserve">Reinforcement learning; Digital twin; Deep learning; Federated learning; Transfer learning; Smart building; AI</t>
  </si>
  <si>
    <t xml:space="preserve">RAW-070</t>
  </si>
  <si>
    <t xml:space="preserve">Reinforcement learning; Systematic review; Building energy; Occupant behavior</t>
  </si>
  <si>
    <t xml:space="preserve">RAW-071</t>
  </si>
  <si>
    <t xml:space="preserve">Machine learning; Deep learning; Electric vehicles; Smart grid; Building energy; HVAC control</t>
  </si>
  <si>
    <t xml:space="preserve">RAW-072</t>
  </si>
  <si>
    <t xml:space="preserve">Systematic review; BIM; GNNs; non-Euclidean data; Operation and maintenance; XAI</t>
  </si>
  <si>
    <t xml:space="preserve">RAW-073</t>
  </si>
  <si>
    <t xml:space="preserve">IoT; Geographic Information System (GIS); Human Settlements; Human- Machine Interaction (HMI); Sustainable Management (SM)</t>
  </si>
  <si>
    <t xml:space="preserve">RAW-074</t>
  </si>
  <si>
    <t xml:space="preserve">Machine learning; Demand response; Smart grid; Model predictive control; Reinforcement learning control</t>
  </si>
  <si>
    <t xml:space="preserve">RAW-075</t>
  </si>
  <si>
    <t xml:space="preserve">Data-driven modelling; Flow control; Surrogate modelling; Wake control; Wind farm control</t>
  </si>
  <si>
    <t xml:space="preserve">RAW-076</t>
  </si>
  <si>
    <t xml:space="preserve">Reinforcement learning; Machine learning; Building energy management; Deep learning; Smart homes; Smart grid</t>
  </si>
  <si>
    <t xml:space="preserve">RAW-077</t>
  </si>
  <si>
    <t xml:space="preserve">Agricultural robot; Bibliometric analysis; Ecological restoration; Environmental sustainability; Secure incentive mechanism; Swarm robotics</t>
  </si>
  <si>
    <t xml:space="preserve">RAW-078</t>
  </si>
  <si>
    <t xml:space="preserve">Machine learning; Control; Geothermal energy; Ground source heat pump; Predictive model</t>
  </si>
  <si>
    <t xml:space="preserve">RAW-079</t>
  </si>
  <si>
    <t xml:space="preserve">Buildings; HVAC; Reinforcement learning; Energy; Comfort</t>
  </si>
  <si>
    <t xml:space="preserve">RAW-080</t>
  </si>
  <si>
    <t xml:space="preserve">Deep reinforcement learning; BIM; BERTopic model; Construction robotics; Dual-track quantitative analysis; Human–robot collaboration</t>
  </si>
  <si>
    <t xml:space="preserve">RAW-081</t>
  </si>
  <si>
    <t xml:space="preserve">artificial intelligence; agent; foundation models; intelligent decision-making; large language model</t>
  </si>
  <si>
    <t xml:space="preserve">RAW-082</t>
  </si>
  <si>
    <t xml:space="preserve">Reinforcement learning; Energy efficiency; Thermal comfort; Building control; Health; Indoor air quality; Neural network; Ventilation system</t>
  </si>
  <si>
    <t xml:space="preserve">RAW-083</t>
  </si>
  <si>
    <t xml:space="preserve">Machine learning; Smart building; Energy-efficient building; Intelligent control; Occupant-centric control</t>
  </si>
  <si>
    <t xml:space="preserve">RAW-084</t>
  </si>
  <si>
    <t xml:space="preserve">Optimization; Power system applications; Safe reinforcement learning; Safety constraints; Smart power system; System operation and control</t>
  </si>
  <si>
    <t xml:space="preserve">RAW-085</t>
  </si>
  <si>
    <t xml:space="preserve">Bibliometric Review; Construction Industry; Literature Review; Qualitative Review; Robotics in Construction (RiC)</t>
  </si>
  <si>
    <t xml:space="preserve">RAW-086</t>
  </si>
  <si>
    <t xml:space="preserve">Reinforcement learning; Microgrids; Control; Energy systems; Operation</t>
  </si>
  <si>
    <t xml:space="preserve">RAW-087</t>
  </si>
  <si>
    <t xml:space="preserve">RAW-088</t>
  </si>
  <si>
    <t xml:space="preserve">Machine learning; Artificial neural networks; Building energy consumption; Building performance simulation; Data-driven modeling</t>
  </si>
  <si>
    <t xml:space="preserve">RAW-089</t>
  </si>
  <si>
    <t xml:space="preserve">Artificial intelligence; Machine learning; Building energy management; Data mining; Energy flexibility</t>
  </si>
  <si>
    <t xml:space="preserve">RAW-090</t>
  </si>
  <si>
    <t xml:space="preserve">Artificial intelligence; Deep generative models; Design automation; Generative design; Topology optimization</t>
  </si>
  <si>
    <t xml:space="preserve">RAW-091</t>
  </si>
  <si>
    <t xml:space="preserve">Reinforcement learning; Energy management system; Clustering; Generalization; Time-series</t>
  </si>
  <si>
    <t xml:space="preserve">RAW-092</t>
  </si>
  <si>
    <t xml:space="preserve">Reinforcement learning; Artificial intelligence; Large Language Models; Smart grids; Energy systems</t>
  </si>
  <si>
    <t xml:space="preserve">RAW-093</t>
  </si>
  <si>
    <t xml:space="preserve">Energy efficiency; Comfort; Lighting control; Occupancy behaviour; Office buildings; User-centricity</t>
  </si>
  <si>
    <t xml:space="preserve">RAW-094</t>
  </si>
  <si>
    <t xml:space="preserve">Reinforcement learning; Building; Control; Indoor comfort; Occupant</t>
  </si>
  <si>
    <t xml:space="preserve">RAW-095</t>
  </si>
  <si>
    <t xml:space="preserve">Reinforcement learning; Machine learning; Building energy; Energy systems; Renewable energy</t>
  </si>
  <si>
    <t xml:space="preserve">RAW-096</t>
  </si>
  <si>
    <t xml:space="preserve">HVAC; Reinforcement learning; Machine learning; Smart building; Building control; Building energy conservation; Mixed-mode; MPC; Natural ventilation</t>
  </si>
  <si>
    <t xml:space="preserve">RAW-097</t>
  </si>
  <si>
    <t xml:space="preserve">HVAC; Artificial intelligence; Control; Automobile; Automotive; Contrôle; CVC; Intelligence Artificielle</t>
  </si>
  <si>
    <t xml:space="preserve">RAW-098</t>
  </si>
  <si>
    <t xml:space="preserve">Reinforcement learning; Demand response; Distributed energy resources; Optimal HVAC energy scheduling; Whole-building HVAC control</t>
  </si>
  <si>
    <t xml:space="preserve">RAW-099</t>
  </si>
  <si>
    <t xml:space="preserve">Sensors; Artificial Intelligence (AI); Deep Learning; Energy Consumption; Home Energy Management System (HEMS); Optimisation Algorithms; Photovoltaic (PV) Systems</t>
  </si>
  <si>
    <t xml:space="preserve">RAW-100</t>
  </si>
  <si>
    <t xml:space="preserve">Machine learning; Hydrogen; Built environment; Decarbonization; Residential heating; Smart management</t>
  </si>
  <si>
    <t xml:space="preserve">RAW-101</t>
  </si>
  <si>
    <t xml:space="preserve">Artificial neural network; Battery management; Robot; Task-centric</t>
  </si>
  <si>
    <t xml:space="preserve">RAW-102</t>
  </si>
  <si>
    <t xml:space="preserve">Reinforcement learning; Energy consumption; Occupant behavior; Public buildings; Qualitative analysis</t>
  </si>
  <si>
    <t xml:space="preserve">RAW-103</t>
  </si>
  <si>
    <t xml:space="preserve">Reinforcement learning; Automation; Active learning; Bioprocess development; Reproducibility crisis</t>
  </si>
  <si>
    <t xml:space="preserve">RAW-104</t>
  </si>
  <si>
    <t xml:space="preserve">Federated learning; Blockchain; Edge AI; Energy efficiency in buildings; Internet of energy (IoE); Large language models (LLMs)</t>
  </si>
  <si>
    <t xml:space="preserve">RAW-105</t>
  </si>
  <si>
    <t xml:space="preserve">Artificial intelligence; Deep reinforcement learning; Deep learning; Voltage control; Distribution network; Heuristic algorithm</t>
  </si>
  <si>
    <t xml:space="preserve">RAW-106</t>
  </si>
  <si>
    <t xml:space="preserve">Machine learning; Energy management; Decision making; IoT; Control; Energy conservation</t>
  </si>
  <si>
    <t xml:space="preserve">RAW-107</t>
  </si>
  <si>
    <t xml:space="preserve">Buildings; HVAC; Reinforcement learning; Model predictive control; Field demonstrations</t>
  </si>
  <si>
    <t xml:space="preserve">RAW-108</t>
  </si>
  <si>
    <t xml:space="preserve">Machine learning; Assessment methods; Embodied carbon emission; Multi-criteria decision-making; Reduction strategies; Systematic literature review</t>
  </si>
  <si>
    <t xml:space="preserve">RAW-109</t>
  </si>
  <si>
    <t xml:space="preserve">Reinforcement learning; Machine learning; Renewable energy; Supervised learning; Electric water heaters; Unsupervised learning</t>
  </si>
  <si>
    <t xml:space="preserve">RAW-110</t>
  </si>
  <si>
    <t xml:space="preserve">HVAC; Energy; Control; Case study; Data-driven; Demand; Field implementation</t>
  </si>
  <si>
    <t xml:space="preserve">RAW-111</t>
  </si>
  <si>
    <t xml:space="preserve">reinforcement learning; Artificial intelligence; model predictive control; energy storage systems; machine learning; control; buildings; prediction</t>
  </si>
  <si>
    <t xml:space="preserve">RAW-112</t>
  </si>
  <si>
    <t xml:space="preserve">Building science; Cross domain; Human mobility modeling; Occupant behavior modeling; Performance evaluation; Spatio-temporal data; Urban scale</t>
  </si>
  <si>
    <t xml:space="preserve">RAW-113</t>
  </si>
  <si>
    <t xml:space="preserve">Reinforcement learning; Internet of Things; Deep reinforcement learning; Wireless Networks</t>
  </si>
  <si>
    <t xml:space="preserve">RAW-114</t>
  </si>
  <si>
    <t xml:space="preserve">Machine learning; Deep learning; Smart grid; Distribution grid; Smart energy service</t>
  </si>
  <si>
    <t xml:space="preserve">RAW-115</t>
  </si>
  <si>
    <t xml:space="preserve">Reinforcement learning; Intelligent building; Adaptation; Adaptive training; Building simulation</t>
  </si>
  <si>
    <t xml:space="preserve">RAW-116</t>
  </si>
  <si>
    <t xml:space="preserve">Model predictive control; Model-free control; Building energy management system; Control of HVAC system; Integrated HVAC system</t>
  </si>
  <si>
    <t xml:space="preserve">RAW-117</t>
  </si>
  <si>
    <t xml:space="preserve">Reinforcement learning; Building energy efficiency; Control optimization; Model-based RL; Model-free RL</t>
  </si>
  <si>
    <t xml:space="preserve">RAW-118</t>
  </si>
  <si>
    <t xml:space="preserve">Reinforcement learning; Building energy efficiency; Natural language processing; Human-building interaction; Occupant-centric; Recommendation systems; Word embeddings</t>
  </si>
  <si>
    <t xml:space="preserve">RAW-119</t>
  </si>
  <si>
    <t xml:space="preserve">Artificial intelligence; Deep learning; Heating; Computer vision; Operation optimization; Ventilation and air-conditioning systems</t>
  </si>
  <si>
    <t xml:space="preserve">RAW-120</t>
  </si>
  <si>
    <t xml:space="preserve">Occupant behavior; Artificial intelligence (AI) technique; Black-box modeling; Building energy performance forecasting (BEPF); Hybrid-driven; Physics-based modeling; Real-time adaptability; Thermal properties of materials; Weather impact</t>
  </si>
  <si>
    <t xml:space="preserve">RAW-121</t>
  </si>
  <si>
    <t xml:space="preserve">Decision-making strategies; Multi-objectives optimization; Multi-objectives reinforcement learning; Smart building; Systematic review</t>
  </si>
  <si>
    <t xml:space="preserve">RAW-122</t>
  </si>
  <si>
    <t xml:space="preserve">RAW-123</t>
  </si>
  <si>
    <t xml:space="preserve">RAW-124</t>
  </si>
  <si>
    <t xml:space="preserve">RAW-125</t>
  </si>
  <si>
    <t xml:space="preserve">RAW-126</t>
  </si>
  <si>
    <t xml:space="preserve">RAW-127</t>
  </si>
  <si>
    <t xml:space="preserve">Buildings; reinforcement learning; Optimization; Building energy management; Computational modeling; Costs; data-driven control; Energy management; model predictive control; Predictive control; Predictive models</t>
  </si>
  <si>
    <t xml:space="preserve">RAW-128</t>
  </si>
  <si>
    <t xml:space="preserve">Buildings; Energy management; Automation; Building energy management systems; building management system; energy consumption; Energy consumption; Energy management systems; energy savings; energy-use prediction; Monitoring; Task analysis</t>
  </si>
  <si>
    <t xml:space="preserve">RAW-129</t>
  </si>
  <si>
    <t xml:space="preserve">energy management; Energy management; Energy management systems; Batteries; Deep reinforcement learning; Deep reinforcement learning (DRL); Fuel cells; hybrid-electric powertrain; learning-based control; Mechanical power transmission; real-world deployment; Transportation</t>
  </si>
  <si>
    <t xml:space="preserve">RAW-130</t>
  </si>
  <si>
    <t xml:space="preserve">Buildings; HVAC; Artificial intelligence; Internet of Things; Internet of Things (IoT); Optimization; Costs; Energy consumption; artificial intelligence (AI); building automation; energy efficiency; Energy efficiency; Heating systems; HVAC control systems; occupancy detection; Sustainable development; thermal comfort</t>
  </si>
  <si>
    <t xml:space="preserve">RAW-131</t>
  </si>
  <si>
    <t xml:space="preserve">reinforcement learning; energy management; Microgrids; Energy management; Energy consumption; Decentralized control; Demand response; Electricity; Fossil fuels; microgrids; Pricing; Real-time systems; Renewable energy sources; Surveys</t>
  </si>
  <si>
    <t xml:space="preserve">RAW-132</t>
  </si>
  <si>
    <t xml:space="preserve">Reinforcement learning; Optimization; deep reinforcement learning; Distributed power generation; optimization; power system operation and control; Power systems; Smart meters; Systems operation; Uncertainty</t>
  </si>
  <si>
    <t xml:space="preserve">RAW-133</t>
  </si>
  <si>
    <t xml:space="preserve">Optimization; Costs; Energy management; Deep reinforcement learning; Real-time systems; Renewable energy sources; Power systems; Uncertainty; Cogeneration; constrained deep reinforcement learning; constrained policy optimization; Knowledge based systems; mixed-integer quadratic programming; Multi-energy communities; Quadratic programming; Stochastic processes</t>
  </si>
  <si>
    <t xml:space="preserve">RAW-134</t>
  </si>
  <si>
    <t xml:space="preserve">energy management; Microgrids; Energy management; microgrids; optimization; Architecture; Computer architecture; energy storage systems; Engines; Generators; Power system stability; Propulsion; uncertainty models</t>
  </si>
  <si>
    <t xml:space="preserve">RAW-135</t>
  </si>
  <si>
    <t xml:space="preserve">Reinforcement learning; reinforcement learning; energy management; Power systems; Decision making; Frequency regulation; Heuristic algorithms; Markov processes; Mathematical models; Power system dynamics; smart grid; voltage control</t>
  </si>
  <si>
    <t xml:space="preserve">RAW-136</t>
  </si>
  <si>
    <t xml:space="preserve">reinforcement learning; Energy management; Batteries; Mechanical power transmission; Real-time systems; Computer architecture; Data-driven methods; electric vehicles; Hybrid electric vehicles; Ice; intelligent energy management strategy; powertrain architecture</t>
  </si>
  <si>
    <t xml:space="preserve">RAW-137</t>
  </si>
  <si>
    <t xml:space="preserve">reinforcement learning; Optimization; Energy management; Batteries; Engines; Hybrid electric vehicles; Climate change; Combustion; deep learning; Dynamic programming; Electric motors; Energy management strategies; Fuels; hybrid electric vehicles; Hybrid power systems; offline and online control strategies; optimization-based; plug-in hybrid; rule-based</t>
  </si>
  <si>
    <t xml:space="preserve">RAW-138</t>
  </si>
  <si>
    <t xml:space="preserve">Reinforcement learning; Training; reinforcement learning; Microgrids; Computational modeling; Surveys; Power system stability; Heuristic algorithms; Mathematical models; Artificial neural networks; Distributed energy resources; hierarchical control; microgrid control; Prediction algorithms</t>
  </si>
  <si>
    <t xml:space="preserve">RAW-139</t>
  </si>
  <si>
    <t xml:space="preserve">energy management; Optimization; Energy management; Real-time systems; Hybrid electric vehicles; Fuels; Adaptation models; automotive cyber security; experimental test progress; Hybrid electric vehicle; intelligent learning algorithm; intelligent transportation; Q-learning</t>
  </si>
  <si>
    <t xml:space="preserve">RAW-140</t>
  </si>
  <si>
    <t xml:space="preserve">HVAC; Reinforcement learning; Optimization; Deep reinforcement learning; Heuristic algorithms; Reviews; Control systems; Dynamical systems; Industries; RL algorithms; Robot kinematics; Space vehicles; hybrid control strategies; model-free control; optimization in control systems</t>
  </si>
  <si>
    <t xml:space="preserve">RAW-141</t>
  </si>
  <si>
    <t xml:space="preserve">Reinforcement learning; reinforcement learning; Microgrids; Renewable energy sources; Surveys; Uncertainty; Consensus; energy management system (EMS); Optimization methods; Scalability; supervised learning</t>
  </si>
  <si>
    <t xml:space="preserve">RAW-142</t>
  </si>
  <si>
    <t xml:space="preserve">Load modeling; Reinforcement learning; Artificial intelligence; Optimization; Batteries; Uncertainty; electric vehicles; Electric vehicle charging; Global warming; machine learning; management; smart grids; Vehicle-to-grid</t>
  </si>
  <si>
    <t xml:space="preserve">RAW-143</t>
  </si>
  <si>
    <t xml:space="preserve">Costs; Energy management systems; Batteries; Fuel cells; Mechanical power transmission; Hybrid electric vehicles; Fuels; Electric potential; energy management strategy (EMS); Energy storage; energy storage sources; FCHEV issues; Fuel cell hybrid electric vehicle (FCHEV); Hydrogen; powertrain configuration; Protons; Supercapacitors</t>
  </si>
  <si>
    <t xml:space="preserve">RAW-144</t>
  </si>
  <si>
    <t xml:space="preserve">energy management; Microgrids; Optimization; Energy management; Renewable energy sources; optimization; Uncertainty; Power system stability; architecture; Microgrid; multi-microgrid system; Reliability; uncertainties</t>
  </si>
  <si>
    <t xml:space="preserve">RAW-145</t>
  </si>
  <si>
    <t xml:space="preserve">Reinforcement learning; Artificial intelligence; Optimization; Computational modeling; deep reinforcement learning; Power systems; Decision making; machine learning; smart grids; Deep learning; power system</t>
  </si>
  <si>
    <t xml:space="preserve">RAW-146</t>
  </si>
  <si>
    <t xml:space="preserve">Costs; Energy management; Batteries; Transportation; Electric motors; Degradation; Electric vehicles (EVs); energy management strategies (EMSs); hybrid energy storage systems (HESSs); Market research; reinforcement learning (RL); Reviews; Topology; Voltage control</t>
  </si>
  <si>
    <t xml:space="preserve">RAW-147</t>
  </si>
  <si>
    <t xml:space="preserve">Machine learning; Internet of Things; Smart buildings; Big Data; big data analytics; machine learning (ML); Robot sensing systems; smart homes; Smart homes; the Internet of Things (IoT)</t>
  </si>
  <si>
    <t xml:space="preserve">RAW-148</t>
  </si>
  <si>
    <t xml:space="preserve">Reinforcement learning; reinforcement learning; energy management; Microgrids; Batteries; Electric vehicle charging station; Markov decision process; microgrid; Power control; Power system management; Schedules; Tariffs</t>
  </si>
  <si>
    <t xml:space="preserve">RAW-149</t>
  </si>
  <si>
    <t xml:space="preserve">Energy management; Mechanical power transmission; Real-time systems; Ice; Fuels; Hybrid power systems; Automotive systems; blended; casual; electric and hybrid electric vehicles; electrified powertrains; electronic control unit; energy management system; Medical services; premeditated; real-life drive scenario; real-time; software-in-the-loop; hardware-in-the-loop, practical implementation</t>
  </si>
  <si>
    <t xml:space="preserve">RAW-150</t>
  </si>
  <si>
    <t xml:space="preserve">Reinforcement learning; Safety; Optimization; Energy management; Uncertainty; Power system stability; Power system dynamics; machine learning; operational planning; Phasor measurement units; Power system measurements; power system operation; real-time operation; real-world deployment and roadmap; safe reinforcement learning (RL); security control</t>
  </si>
  <si>
    <t xml:space="preserve">RAW-151</t>
  </si>
  <si>
    <t xml:space="preserve">reinforcement learning; Artificial intelligence; Optimization; Energy efficiency; Surveys; Adaptation models; Reviews; direct yaw control; electric vehicle; Electric vehicles; Force; Torque; torque vectoring; vehicle dynamics; Vehicle dynamics; Wheels</t>
  </si>
  <si>
    <t xml:space="preserve">RAW-152</t>
  </si>
  <si>
    <t xml:space="preserve">Costs; Energy management; Batteries; Fuel cells; Computer architecture; electric vehicles; Hybrid electric vehicles; Supercapacitors; Reviews; battery; Energy management system; hybrid energy storage system; Lithium; real-time implementation; solar PV; State of charge; supercapacitor</t>
  </si>
  <si>
    <t xml:space="preserve">RAW-153</t>
  </si>
  <si>
    <t xml:space="preserve">Artificial intelligence; Machine learning; energy management; Microgrids; Optimization; Energy management; Decentralized control; Renewable energy sources; optimization; machine learning; Energy storage; Reliability; microgrid; control; distributed generation; energy storage; environment; Power system reliability; renewable energy</t>
  </si>
  <si>
    <t xml:space="preserve">RAW-154</t>
  </si>
  <si>
    <t xml:space="preserve">reinforcement learning; Microgrids; Optimization; microgrids; Distributed power generation; Computer architecture; Power system stability; Q-learning; Reviews; Aerospace electronics; Convergence; Hierarchical control; model-free; Stability analysis</t>
  </si>
  <si>
    <t xml:space="preserve">RAW-155</t>
  </si>
  <si>
    <t xml:space="preserve">Training; energy efficiency; Surveys; Decision making; Reviews; Autonomous underwater vehicles (AUV); centralized training with decentralized execution (CTDE); Collaboration; data collection; Data collection; multi-agent deep deterministic policy gradient (MADDPG); multi-agent proximal policy optimization (MAPPO); multi-agent reinforcement learning (MARL); multi-AUV coordination; Navigation; Oceans; Sensors; Taxonomy</t>
  </si>
  <si>
    <t xml:space="preserve">RAW-156</t>
  </si>
  <si>
    <t xml:space="preserve">Sustainable development; Renewable energy sources; Computer architecture; Smart grids; Cloud computing; Data privacy; Distributed computing; distributed energy; domestic energy consumption; edge computing; Edge computing; edge intelligence; hybrid renewable energy systems; Internet of Energy; power systems; renewable energy sources; residential energy consumption; Security; sustainable development; systems architecture; Systems architecture; trustworthiness; user data privacy</t>
  </si>
  <si>
    <t xml:space="preserve">RAW-157</t>
  </si>
  <si>
    <t xml:space="preserve">Artificial intelligence; Optimization; Energy management; Electricity; Renewable energy sources; Reviews; demand side management; Economics; energy optimization; Forecasting; Greenhouses; IoT in agriculture; load forecasting; Pipelines; smart greenhouse</t>
  </si>
  <si>
    <t xml:space="preserve">RAW-158</t>
  </si>
  <si>
    <t xml:space="preserve">Data models; Training; Artificial intelligence; Energy management; Power systems; smart grid; Smart grids; Data privacy; Analytical models; Data-driven techniques; Digital systems; energy service; federated learning; Federated learning; Servers</t>
  </si>
  <si>
    <t xml:space="preserve">RAW-159</t>
  </si>
  <si>
    <t xml:space="preserve">Artificial intelligence; Internet of Things; Optimization; Deep reinforcement learning; Power systems; Power system stability; Heuristic algorithms; Reviews; Collaboration; Collective intelligence; distributed cooperation; modern power systems; multi-agent</t>
  </si>
  <si>
    <t xml:space="preserve">RAW-160</t>
  </si>
  <si>
    <t xml:space="preserve">Reinforcement learning; reinforcement learning; Power system dynamics; Market research; Reviews; Smart grids; dynamic populations; electricity markets; Electricity supply industry; evolutionary games; Game theory; Games; multi-agent system; Multi-agent systems; Social factors; Statistics</t>
  </si>
  <si>
    <t xml:space="preserve">RAW-161</t>
  </si>
  <si>
    <t xml:space="preserve">bibliometrics; co-occurrence analysis; literature analysis; PEMFC system control strategy; proton exchange membrane fuel cell (PEMFCV)</t>
  </si>
  <si>
    <t xml:space="preserve">RAW-162</t>
  </si>
  <si>
    <t xml:space="preserve">Optimization; Predictive control; Real-time systems; Cogeneration; Reviews; Demand-side management; Distribution networks; energy flexibility; heat pumps; Heat pumps; power distribution systems; Resistance heating; Space heating; Water heating</t>
  </si>
  <si>
    <t xml:space="preserve">RAW-163</t>
  </si>
  <si>
    <t xml:space="preserve">Data models; Reviews; Control systems; Analytical models; Biological system modeling; Data integration; Digital twins; modeling; photovoltaic power systems; solar energy; Solar energy</t>
  </si>
  <si>
    <t xml:space="preserve">RAW-164</t>
  </si>
  <si>
    <t xml:space="preserve">microgrids; Electric vehicle charging; Supercapacitors; renewable energy sources; Capacitors; Circuits; Feeds; Filtering; Filters; grid-forming control; Oscillators; Power capacitors; System-on-chip; vehicle-to-grid; Voltage multipliers</t>
  </si>
  <si>
    <t xml:space="preserve">RAW-165</t>
  </si>
  <si>
    <t xml:space="preserve">Internet of Things (IoT); Task analysis; Cloud computing; Edge computing; Statistics; cyber physical systems; intelligent computing algorithm; Quality of Service(QoS); Smart cities; smart city; Sociology; Urban areas</t>
  </si>
  <si>
    <t xml:space="preserve">RAW-166</t>
  </si>
  <si>
    <t xml:space="preserve">Microgrids; Costs; Electricity; microgrids; Energy storage; Hydrogen; Green energy; Green products; intelligent control; Rail transportation; Rails; railway systems; Thermal stability</t>
  </si>
  <si>
    <t xml:space="preserve">RAW-167</t>
  </si>
  <si>
    <t xml:space="preserve">Artificial intelligence; Predictive models; Renewable energy sources; deep learning; Deep learning; Smart grids; edge computing; power systems; Forecasting; Collaborative work; deep neural networks; distributed and federated learning; Smart grid</t>
  </si>
  <si>
    <t xml:space="preserve">RAW-168</t>
  </si>
  <si>
    <t xml:space="preserve">Data models; Training; Artificial intelligence; Computational modeling; smart grid; Cloud computing; edge computing; edge intelligence; federated learning; Hardware; Resource management</t>
  </si>
  <si>
    <t xml:space="preserve">RAW-169</t>
  </si>
  <si>
    <t xml:space="preserve">Artificial intelligence; Surveys; deep learning; machine learning; Reviews; Industries; Business; computer vision; Ethics; Fraud; insurance; Insurance; natural language processing; Natural language processing; real estate; Risk management</t>
  </si>
  <si>
    <t xml:space="preserve">RAW-170</t>
  </si>
  <si>
    <t xml:space="preserve">Artificial intelligence; Microgrids; Surveys; Generators; Hybrid power systems; hierarchical control; Voltage control; Power system reliability; artificial intelligence; Complexity theory; Databases; hybrid ac/dc microgrid; Power electronics</t>
  </si>
  <si>
    <t xml:space="preserve">RAW-171</t>
  </si>
  <si>
    <t xml:space="preserve">reinforcement learning; Machine learning; Optimization; Energy efficiency; machine learning (ML); Hardware; Cooling; Multicore processing; multicore systems; neural networks; on-chip resource management; Power demand; power management; thermal management; Thermal management</t>
  </si>
  <si>
    <t xml:space="preserve">RAW-172</t>
  </si>
  <si>
    <t xml:space="preserve">Batteries; Energy efficiency; Real-time systems; Power system stability; Electric vehicles; Stability analysis; Control systems; Sensors; body control unit; electrical power steering; Electronic control unit; electronic stability control; Steering systems; vehicle control unit</t>
  </si>
  <si>
    <t xml:space="preserve">RAW-173</t>
  </si>
  <si>
    <t xml:space="preserve">Microgrids; Decentralized control; Renewable energy sources; Distributed power generation; Power system stability; Climate change; Scalability; Reliability; Voltage control; solar PV; Control systems; renewable energy sources; centralized and decentralized control; Discrete cosine transforms; distributed generators; Energy sustainability; hybrid microgrid; Photovoltaic systems; Solar power generation; wind</t>
  </si>
  <si>
    <t xml:space="preserve">RAW-174</t>
  </si>
  <si>
    <t xml:space="preserve">Microgrids; Power system stability; Control systems; Conferences; decentralization; decentralized control; distributed control; hierarchical systems; Open Access; primary control; Resilience; secondary control; tertiary control</t>
  </si>
  <si>
    <t xml:space="preserve">RAW-175</t>
  </si>
  <si>
    <t xml:space="preserve">Machine learning; Batteries; Computer architecture; Propulsion; electric vehicles; State of charge; battery management; Estimation; Microprocessors; state of charge estimation order; state of charge management</t>
  </si>
  <si>
    <t xml:space="preserve">RAW-176</t>
  </si>
  <si>
    <t xml:space="preserve">Internet of Things; machine learning; Circuits; advanced metering infrastructure; affordable and clean energy; Communication systems; Computer networks; Decision Tree; Electricity theft; Electronic mail; Feedback; industry; innovation and infrastructure; Internet; K-Nearest Neighbours; Logistic Regression; non-technical losses; power distribution; Product lifecycle management; Random Forest; Receivers; reduced inequalities; sustainable cities and communities; Telecommunications; XGBoost</t>
  </si>
  <si>
    <t xml:space="preserve">RAW-177</t>
  </si>
  <si>
    <t xml:space="preserve">Training; Internet of Things; Computational modeling; energy consumption; Energy consumption; Monitoring; Energy efficiency; edge computing; Edge computing; Security; Federated learning; Servers; Smart cities; end-to-end delay; Green design; green Internet of Things; network overhead; Privacy; route interruption; security and privacy</t>
  </si>
  <si>
    <t xml:space="preserve">RAW-178</t>
  </si>
  <si>
    <t xml:space="preserve">RAW-179</t>
  </si>
  <si>
    <t xml:space="preserve">RAW-180</t>
  </si>
  <si>
    <t xml:space="preserve">Optimization; Fuel cells; Architecture; Computer architecture; Fuels; Hydrogen; thermal management; Thermal management; Control strategies; Converters; fuel cell electric vehicles (FCEVs); Inverters; Modeling; multiport converters; power architectures</t>
  </si>
  <si>
    <t xml:space="preserve">RAW-181</t>
  </si>
  <si>
    <t xml:space="preserve">RAW-182</t>
  </si>
  <si>
    <t xml:space="preserve">RAW-183</t>
  </si>
  <si>
    <t xml:space="preserve">RAW-184</t>
  </si>
  <si>
    <t xml:space="preserve">RAW-185</t>
  </si>
  <si>
    <t xml:space="preserve">RAW-186</t>
  </si>
  <si>
    <t xml:space="preserve">RAW-187</t>
  </si>
  <si>
    <t xml:space="preserve">RAW-188</t>
  </si>
  <si>
    <t xml:space="preserve">RAW-189</t>
  </si>
  <si>
    <t xml:space="preserve">RAW-190</t>
  </si>
  <si>
    <t xml:space="preserve">RAW-191</t>
  </si>
  <si>
    <t xml:space="preserve">RAW-192</t>
  </si>
  <si>
    <t xml:space="preserve">RAW-193</t>
  </si>
  <si>
    <t xml:space="preserve">RAW-194</t>
  </si>
  <si>
    <t xml:space="preserve">RAW-195</t>
  </si>
  <si>
    <t xml:space="preserve">RAW-196</t>
  </si>
  <si>
    <t xml:space="preserve">RAW-197</t>
  </si>
  <si>
    <t xml:space="preserve">RAW-198</t>
  </si>
  <si>
    <t xml:space="preserve">RAW-199</t>
  </si>
  <si>
    <t xml:space="preserve">RAW-200</t>
  </si>
  <si>
    <t xml:space="preserve">RAW-201</t>
  </si>
  <si>
    <t xml:space="preserve">RAW-202</t>
  </si>
  <si>
    <t xml:space="preserve">RAW-203</t>
  </si>
  <si>
    <t xml:space="preserve">RAW-204</t>
  </si>
  <si>
    <t xml:space="preserve">RAW-205</t>
  </si>
  <si>
    <t xml:space="preserve">RAW-206</t>
  </si>
  <si>
    <t xml:space="preserve">RAW-207</t>
  </si>
  <si>
    <t xml:space="preserve">RAW-208</t>
  </si>
  <si>
    <t xml:space="preserve">RAW-209</t>
  </si>
  <si>
    <t xml:space="preserve">RAW-210</t>
  </si>
  <si>
    <t xml:space="preserve">RAW-211</t>
  </si>
  <si>
    <t xml:space="preserve">RAW-212</t>
  </si>
  <si>
    <t xml:space="preserve">RAW-213</t>
  </si>
  <si>
    <t xml:space="preserve">RAW-214</t>
  </si>
  <si>
    <t xml:space="preserve">RAW-215</t>
  </si>
  <si>
    <t xml:space="preserve">RAW-216</t>
  </si>
  <si>
    <t xml:space="preserve">RAW-217</t>
  </si>
  <si>
    <t xml:space="preserve">RAW-218</t>
  </si>
  <si>
    <t xml:space="preserve">RAW-219</t>
  </si>
  <si>
    <t xml:space="preserve">RAW-220</t>
  </si>
  <si>
    <t xml:space="preserve">RAW-221</t>
  </si>
  <si>
    <t xml:space="preserve">RAW-222</t>
  </si>
  <si>
    <t xml:space="preserve">RAW-223</t>
  </si>
  <si>
    <t xml:space="preserve">RAW-224</t>
  </si>
  <si>
    <t xml:space="preserve">RAW-225</t>
  </si>
  <si>
    <t xml:space="preserve">RAW-226</t>
  </si>
  <si>
    <t xml:space="preserve">RAW-227</t>
  </si>
  <si>
    <t xml:space="preserve">RAW-228</t>
  </si>
  <si>
    <t xml:space="preserve">RAW-229</t>
  </si>
  <si>
    <t xml:space="preserve">RAW-230</t>
  </si>
  <si>
    <t xml:space="preserve">RAW-231</t>
  </si>
  <si>
    <t xml:space="preserve">RAW-232</t>
  </si>
  <si>
    <t xml:space="preserve">RAW-233</t>
  </si>
  <si>
    <t xml:space="preserve">RAW-234</t>
  </si>
  <si>
    <t xml:space="preserve">RAW-235</t>
  </si>
  <si>
    <t xml:space="preserve">RAW-236</t>
  </si>
  <si>
    <t xml:space="preserve">RAW-237</t>
  </si>
  <si>
    <t xml:space="preserve">RAW-238</t>
  </si>
  <si>
    <t xml:space="preserve">RAW-239</t>
  </si>
  <si>
    <t xml:space="preserve">RAW-240</t>
  </si>
  <si>
    <t xml:space="preserve">RAW-241</t>
  </si>
  <si>
    <t xml:space="preserve">Embodied carbon emission; Assessment methods; Reduction strategies; Machine learning; Multi-criteria decision-making; Systematic literature review</t>
  </si>
  <si>
    <t xml:space="preserve">RAW-242</t>
  </si>
  <si>
    <t xml:space="preserve">Multi-agent systems (MAS); Distributed control; Building energy optimization; Agent-based modeling; Energy management systems</t>
  </si>
  <si>
    <t xml:space="preserve">RAW-243</t>
  </si>
  <si>
    <t xml:space="preserve">Rinchi, Bilal; Al-Dahidi, Sameer; Alrbai, Mohammad; Ayadi, Osama</t>
  </si>
  <si>
    <t xml:space="preserve">District heating and cooling; Machine learning; Model predictive control; Load forecasting; Reinforcement learning</t>
  </si>
  <si>
    <t xml:space="preserve">District heating and cooling (DHC) systems are central to urban decarbonization, yet they present machine learning (ML) challenges distinct from other energy domains. Thermal inertia creates multi-hour prediction delays, pipe networks impose graph-structured hydraulic coupling, seasonal demand varies by orders of magnitude, and safety-critical operation demands guarantees most data-driven methods cannot provide. This review analyzes seven open problems the field must resolve for real-world impact. For load forecasting, feature engineering consistently outweighs architectural innovation, ensemble methods match deep learning for sub-day horizons at far lower cost, and transformers demonstrate superiority only beyond 48 hours. For control, MPC improvements range from 5% to 75% depending on untapped flexibility, while deep reinforcement learning excels in hybrid discrete–continuous action spaces under forecast uncertainty. For fault detection, labeled data scarcity is the fundamental bottleneck. Supervised methods achieve 95–99% accuracy, but synthetic data generation remains insufficient for practical use. The most critical structural finding is the underrepresentation of district cooling despite fundamentally different physics (nonlinear chiller thermodynamics, phase-change storage, solar-driven demand) requiring purpose-built ML approaches. Few studies validate their methods through field deployment, revealing a persistent gap between algorithmic innovation and operational impact. A research roadmap poses 13 specific questions the field must answer.</t>
  </si>
  <si>
    <t xml:space="preserve">RAW-244</t>
  </si>
  <si>
    <t xml:space="preserve">Jalilzadeh, Amin; Rafiee, Azarakhsh; van Oosterom, Peter; Konstantinou, Thaleia</t>
  </si>
  <si>
    <t xml:space="preserve">Digital twin; Energy transition; Local energy solutions; Decentralization; Positive energy districts; Urban energy management</t>
  </si>
  <si>
    <t xml:space="preserve">RAW-245</t>
  </si>
  <si>
    <t xml:space="preserve">Building Energy System; HVAC; Heating; Cooling; Reinforcement learning; Machine learning; RL; ML</t>
  </si>
  <si>
    <t xml:space="preserve">RAW-246</t>
  </si>
  <si>
    <t xml:space="preserve">Machine learning; Deep learning; HVAC control; Building energy; Electric vehicles; Smart grid</t>
  </si>
  <si>
    <t xml:space="preserve">RAW-247</t>
  </si>
  <si>
    <t xml:space="preserve">Demand response; Smart grid; Machine learning; Model predictive control; Reinforcement learning control</t>
  </si>
  <si>
    <t xml:space="preserve">RAW-248</t>
  </si>
  <si>
    <t xml:space="preserve">Data-driven; Control; Field implementation; Case study; HVAC; Energy; Demand</t>
  </si>
  <si>
    <t xml:space="preserve">RAW-249</t>
  </si>
  <si>
    <t xml:space="preserve">Zafar, Taha; Khan, Muhammad Toaha Raza; Fahrioglu, Murat; Ever, Enver</t>
  </si>
  <si>
    <t xml:space="preserve">AI-driven smart home energy management; Deep reinforcement learning; Non-intrusive load monitoring; Demand response; Load forecasting; Cyber-physical systems; PRISMA systematic review guidelines</t>
  </si>
  <si>
    <t xml:space="preserve">RAW-250</t>
  </si>
  <si>
    <t xml:space="preserve">Virtual energy storage; Heating and cooling system optimization; Model predictive control; Model-free control; Flexibility quantification</t>
  </si>
  <si>
    <t xml:space="preserve">RAW-251</t>
  </si>
  <si>
    <t xml:space="preserve">Machine learning; Renewable energy; Microgrids; Energy community; Energy decentralization</t>
  </si>
  <si>
    <t xml:space="preserve">RAW-252</t>
  </si>
  <si>
    <t xml:space="preserve">Huang, Lidong; Liu, Hui; Liu, Bin; Ma, Siyu; Wang, Ni; Xie, Haimin; He, Zihan</t>
  </si>
  <si>
    <t xml:space="preserve">Electric Power Systems Research</t>
  </si>
  <si>
    <t xml:space="preserve">Demand response; Distributed algorithm; Incomplete information; Regression method; Reinforcement Learning (RL)</t>
  </si>
  <si>
    <t xml:space="preserve">RAW-253</t>
  </si>
  <si>
    <t xml:space="preserve">Electric vehicles; Ancillary services; Multi-service provision; Control approaches; Reinforcement learning</t>
  </si>
  <si>
    <t xml:space="preserve">RAW-254</t>
  </si>
  <si>
    <t xml:space="preserve">Machine learning; Sustainable energy; Energy grid optimization; Regulatory frameworks; Interpretability</t>
  </si>
  <si>
    <t xml:space="preserve">RAW-255</t>
  </si>
  <si>
    <t xml:space="preserve">Kakkar, Riya; Agrawal, Smita; Tanwar, Sudeep</t>
  </si>
  <si>
    <t xml:space="preserve">Electric vehicle; Demand response management; Smart grid; Optimization techniques; Load forecasting; Reinforcement learning; Blockchain</t>
  </si>
  <si>
    <t xml:space="preserve">The unprecedented proliferation of electric vehicles is envisioned to revolutionize the Intelligent Transportation System as an energy-efficient and environment-friendly alternative to fossil-fuel vehicles. Despite the indispensable benefits of electric vehicles, the enormous and fluctuating energy demand for electric vehicles can imperil the efficiency and stability of the electric grid, which further necessitates the discussion on balancing the demand and supply for electric vehicle efficient charging at the charging station. Some of the research studies focus on the electric vehicle demand response management but without considering various critical aspects such as security, optimality, and fluctuating parameters (electric load or traffic condition) that impact the net-zero emission or carbon neutrality that is required to fulfil some of the United Nation Sustainable Development Goals. Thus, this research study presented an exhaustive meta-survey to secure electric vehicles’ demand response management towards a smart grid environment. Consequently, the research in the meta-survey discussed the taxonomy of demand response for electric vehicles, considering various aspects such as electric vehicle modelling, load forecasting, and optimization techniques. Furthermore, this review studied the holistic discussion on various security techniques such as encryption, authentication, and consensus protocols for protected and preserved electric vehicle demand response management through the smart grid environment. Moreover, a case study is presented that focuses on the security and optimality aspects of demand response management for electric vehicles using blockchain and the reinforcement learning approach. The proposed case study focuses on optimizing electric vehicle energy trading based on optimized energy consumption for secure and efficient demand response management with the smart grid. Finally, the meta-surveys research challenges and future opportunities have been targeted and discussed for secure and optimal electric vehicle demand response management for future works.</t>
  </si>
  <si>
    <t xml:space="preserve">RAW-256</t>
  </si>
  <si>
    <t xml:space="preserve">Digitalization; Smart Grids; Internet of Things; Artificial Intelligence; Blockchain; Digital Twin; Renewable Energy; Demand Response</t>
  </si>
  <si>
    <t xml:space="preserve">RAW-257</t>
  </si>
  <si>
    <t xml:space="preserve">Hernandez-Matheus, Alejandro; Löschenbrand, Markus; Berg, Kjersti; Fuchs, Ida; Aragüés-Peñalba, Mònica; Bullich-Massagué, Eduard; Sumper, Andreas</t>
  </si>
  <si>
    <t xml:space="preserve">Local energy communities; Machine learning; Energy decentralisation; Energy forecasting; Energy management systems; Energy transactions</t>
  </si>
  <si>
    <t xml:space="preserve">RAW-258</t>
  </si>
  <si>
    <t xml:space="preserve">Deep reinforcement learning; Energy Internet; Smart grid; Energy management; Energy markets; Energy storage systems</t>
  </si>
  <si>
    <t xml:space="preserve">RAW-259</t>
  </si>
  <si>
    <t xml:space="preserve">Peirelinck, Thijs; Kazmi, Hussain; Mbuwir, Brida V.; Hermans, Chris; Spiessens, Fred; Suykens, Johan; Deconinck, Geert</t>
  </si>
  <si>
    <t xml:space="preserve">Demand response; Transfer learning; Reinforcement learning; Review; Smart grid</t>
  </si>
  <si>
    <t xml:space="preserve">A number of decarbonization scenarios for the energy sector are built on simultaneous electrification of energy demand, and decarbonization of electricity generation through renewable energy sources. However, increased electricity demand due to heat and transport electrification and the variability associated with renewables have the potential to disrupt stable electric grid operation. To address these issues using demand response, researchers and practitioners have increasingly turned towards automated decision support tools which utilize machine learning and optimization algorithms. However, when applied naively, these algorithms suffer from high sample complexity, which means that it is often impractical to fit sufficiently complex models because of a lack of observed data. Recent advances have shown that techniques such as transfer learning can address this problem and improve their performance considerably — both in supervised and reinforcement learning contexts. Such formulations allow models to leverage existing domain knowledge and human expertise in addition to sparse observational data. More formally, transfer learning embodies all techniques where one aims to increase (learning) performance in a target domain or task, by using knowledge gained in a source domain or task. This paper provides a detailed overview of state-of-the-art techniques on applying transfer learning in demand response, showing improvements that can exceed 30% in a variety of tasks. We observe that most research to date has focused on transfer learning in the context of electricity demand prediction, although reinforcement learning based controllers have also seen increasing attention. However, a number of limitations remain in these studies, including a lack of benchmarks, systematic performance improvement tracking, and consensus on techniques that can help avoid negative transfer.</t>
  </si>
  <si>
    <t xml:space="preserve">RAW-260</t>
  </si>
  <si>
    <t xml:space="preserve">Krishnamurthy, Senthil; Adewuyi, Oludamilare Bode; Salimon, Sunday Adeleke</t>
  </si>
  <si>
    <t xml:space="preserve">Power system optimization; Artificial intelligence; Reinforcement learning; Distributed and federated learning; Grid integration technologies</t>
  </si>
  <si>
    <t xml:space="preserve">The growing complexity of modern power systems, driven by the integration of renewable energy sources, distributed generation, and smart grid technologies, poses significant challenges to ensuring efficient and reliable operation. Traditional optimization methods often fall short in addressing the dynamic, nonlinear, and uncertain nature of present-day power system variables. This review article explores the application of Artificial Intelligence (AI)-based optimization techniques as promising solutions to enhance power system performance, stability, and flexibility. The study begins with an overview of traditional power system optimization problems and solution approaches, including economic load dispatch, optimal power flow, unit commitment, demand response, fault diagnosis, and the integration of renewable energy. It examines the classical optimization methods and their limitations, as well as the intricacies of metaheuristic techniques. The core of this review paper focuses on the application of contemporary artificial intelligence techniques, highlighting their strengths, use cases, comparative effectiveness, and discussing the implementation challenges that arise. By analyzing recent literature, tools, and real-world applications, the review identifies critical trends and challenges and provides recommendations for future work. This review task highlights the potential of AI to support resilient, adaptive, and sustainable power systems in the era of energy transition.</t>
  </si>
  <si>
    <t xml:space="preserve">RAW-261</t>
  </si>
  <si>
    <t xml:space="preserve">IEEE Xplore Citation RIS Download 2026.8.31.15.34.58_expanded_sens(1).ris</t>
  </si>
  <si>
    <t xml:space="preserve">Smart homes; Energy management; Reinforcement learning; Home appliances; Monitoring; Conferences; HVAC; reinforcement learning; smart home; energy management system; demand response</t>
  </si>
  <si>
    <t xml:space="preserve">RAW-262</t>
  </si>
  <si>
    <t xml:space="preserve">Reinforcement learning; Power systems; Optimization; Decision making; Computational modeling; Deep learning; Artificial intelligence; deep reinforcement learning; machine learning; power system; smart grids</t>
  </si>
  <si>
    <t xml:space="preserve">RAW-263</t>
  </si>
  <si>
    <t xml:space="preserve">L. Yu; S. Qin; M. Zhang; C. Shen; T. Jiang; X. Guan</t>
  </si>
  <si>
    <t xml:space="preserve">Buildings; Optimization; Internet of Things; HVAC; Smart buildings; Reinforcement learning; Microgrids; Artificial intelligence; building microgrids; deep reinforcement learning (DRL); energy management; Internet of Things (IoT); smart buildings; uncertainty</t>
  </si>
  <si>
    <t xml:space="preserve">RAW-264</t>
  </si>
  <si>
    <t xml:space="preserve">Uncertainty; Power distribution; Reinforcement learning; Robustness; Safety; Smart grids; Research and development; Power distribution systems; deep reinforcement learning</t>
  </si>
  <si>
    <t xml:space="preserve">RAW-265</t>
  </si>
  <si>
    <t xml:space="preserve">Artificial intelligence; Energy; Learning (artificial intelligence); Licenses; Location awareness; Modeling; Nuclear facility regulation; Accuracy; Forecasting; Image sensors; Artificial intelligence; machine learning; cyber-physical systems; multi-agent systems; smart grid; renewable energy integration; energy communities; indoor positioning; sensor fusion; GPS-denied environments; deep learning; reinforcement learning; physics-informed learning</t>
  </si>
  <si>
    <t xml:space="preserve">RAW-266</t>
  </si>
  <si>
    <t xml:space="preserve">Voltage control; Reactive power; Reviews; Distribution networks; Optimization; Monitoring; Machine learning; Data-driven decision-making; distribution networks; supervised; unsupervised; ensemble learning; reinforcement learning; renewable energy resources; Volt/Var optimization</t>
  </si>
  <si>
    <t xml:space="preserve">RAW-267</t>
  </si>
  <si>
    <t xml:space="preserve">Analytical models; Electric potential; Conferences; Focusing; Power grids; Digital twins; Distributed power generation; Digital twin; Local Energy Community; physics-based model; data-driven model; flexibility profile.</t>
  </si>
  <si>
    <t xml:space="preserve">RAW-268</t>
  </si>
  <si>
    <t xml:space="preserve">Loading; Modeling; Optimization; Pricing; Electricity; Timing; Printing; Energy; Technology; Algorithms; charging load; dynamic electricity price; deep learning; neural network; smart grid</t>
  </si>
  <si>
    <t xml:space="preserve">RAW-269</t>
  </si>
  <si>
    <t xml:space="preserve">Renewable energy sources; Reviews; Decision making; Reinforcement learning; Power system stability; Stability analysis; Power grids; Reinforcement learning; Power systems; Energy systems; Demand-side management; Energy optimization; Renewable energy integration</t>
  </si>
  <si>
    <t xml:space="preserve">RAW-270</t>
  </si>
  <si>
    <t xml:space="preserve">M. Khodayar; G. Liu; J. Wang; M. E. Khodayar</t>
  </si>
  <si>
    <t xml:space="preserve">Power system stability; Feature extraction; Deep learning; Stability analysis; Probabilistic logic; Power systems; Training; Autoencoder; convolution neural network; deep learning; discriminative model; deep belief network; generative architecture; variational inference</t>
  </si>
  <si>
    <t xml:space="preserve">RAW-271</t>
  </si>
  <si>
    <t xml:space="preserve">Surveys; Wireless communication; Reviews; Focusing; Machine learning; Demand response; Reliability; Adaptive Control; Building Energy Management Systems; Energy Consumption; Explainable AI (XAI); Demand Response; Machine Learning</t>
  </si>
  <si>
    <t xml:space="preserve">RAW-272</t>
  </si>
  <si>
    <t xml:space="preserve">Renewable energy sources; Reviews; Machine learning; Transforms; Power system stability; Demand response; Energy efficiency; Smart grids; Forecasting; Optimization; Artificial Intelligence; Demand response; Electricity markets; Grid optimization; Machine Learning; Renewable energy smart grids</t>
  </si>
  <si>
    <t xml:space="preserve">RAW-273</t>
  </si>
  <si>
    <t xml:space="preserve">Renewable energy sources; Supply and demand; Wind energy; Communications technology; Smart meters; Smart grids; Reliability; Artificial intelligence; Sustainable development; Energy management systems; Smart grid; renewable energy; artificial intelligence; demand response; IoT; communication technology; energy management systems</t>
  </si>
  <si>
    <t xml:space="preserve">RAW-274</t>
  </si>
  <si>
    <t xml:space="preserve">Electricity; Energy; Hydrogen; Loading; Modeling; Optimization; Planning; Resilience; Costing; Costs; Contingency modeling; deep reinforcement learning; extreme events; hydrogen-enabled resilience enhancement; large language models (LLMs); low-carbon; multienergy systems (MESs); operation; planning; resilience metrics</t>
  </si>
  <si>
    <t xml:space="preserve">RAW-275</t>
  </si>
  <si>
    <t xml:space="preserve">R. Subramanya; S. A. Sierla; V. Vyatkin</t>
  </si>
  <si>
    <t xml:space="preserve">Batteries; Optimization; Reinforcement learning; Renewable energy sources; Microgrids; Degradation; Buildings; Battery degradation; battery storage; electric vehicle; microgrid; reinforcement learning</t>
  </si>
  <si>
    <t xml:space="preserve">RAW-276</t>
  </si>
  <si>
    <t xml:space="preserve">Data centers; Renewable energy sources; Renewable energy; Energy; Printing; Modeling; Energy storage; Architecture; Computer architecture; Optimization; data center; renewable energy; grid-tied photovoltaic; model predictive control; reinforcement learning; demand response; ancillary services; Saudi Arabia; NEOM</t>
  </si>
  <si>
    <t xml:space="preserve">RAW-277</t>
  </si>
  <si>
    <t xml:space="preserve">Renewable energy sources; Home appliances; Uncertainty; Scalability; Sociology; Power system stability; Regulation; continuous and discrete loads; coordinated HEMS; demand side management; duck curve; energy arbitrage.</t>
  </si>
  <si>
    <t xml:space="preserve">RAW-278</t>
  </si>
  <si>
    <t xml:space="preserve">Greenhouses; Artificial intelligence; Forecasting; Economics; Energy management; Optimization; Reviews; Renewable energy sources; Pipelines; Electricity; IoT in agriculture; demand side management; load forecasting; energy optimization; smart greenhouse</t>
  </si>
  <si>
    <t xml:space="preserve">RAW-279</t>
  </si>
  <si>
    <t xml:space="preserve">Forecasting; Load forecasting; Power systems; Load modeling; Classification algorithms; Automation; Voltage control; Cyber security; distribution automation system; deep learning; learning-2-learning</t>
  </si>
  <si>
    <t xml:space="preserve">RAW-280</t>
  </si>
  <si>
    <t xml:space="preserve">Reviews; Heat pumps; Distribution networks; Water heating; Resistance heating; Optimization; Space heating; Real-time systems; Predictive control; Cogeneration; Demand-side management; energy flexibility; heat pumps; power distribution systems</t>
  </si>
  <si>
    <t xml:space="preserve">RAW-281</t>
  </si>
  <si>
    <t xml:space="preserve">Space power stations; Feeds; System-on-chip; Filters; Filtering; Large scale integration; Application specific integrated circuits; Circuits; Kalman filters; Voltage multipliers; Artificial intelligence; demand-side management; electric vehicles; fuel cell electric vehicle; grid stability; internal combustion engine vehicles; plug-in hybrid electric vehicle; smart charging battery; vehicle-to-grid</t>
  </si>
  <si>
    <t xml:space="preserve">RAW-282</t>
  </si>
  <si>
    <t xml:space="preserve">Microgrids; Artificial intelligence; Renewable energy sources; Reliability; Optimization; Power system reliability; Energy storage; Decentralized control; Energy management; Machine learning; Artificial intelligence; control; distributed generation; energy management; energy storage; environment; machine learning; microgrid; optimization; renewable energy</t>
  </si>
  <si>
    <t xml:space="preserve">RAW-283</t>
  </si>
  <si>
    <t xml:space="preserve">Spatiotemporal phenomena; Correlation; Power systems; Task analysis; Load modeling; Convolutional neural networks; Analytical models; Artificial neural networks; Spatiotemporal correlations; power systems applications; deep neural architectures</t>
  </si>
  <si>
    <t xml:space="preserve">RAW-284</t>
  </si>
  <si>
    <t xml:space="preserve">RAW-285</t>
  </si>
  <si>
    <t xml:space="preserve">RAW-286</t>
  </si>
  <si>
    <t xml:space="preserve">RAW-287</t>
  </si>
  <si>
    <t xml:space="preserve">RAW-288</t>
  </si>
  <si>
    <t xml:space="preserve">RAW-289</t>
  </si>
  <si>
    <t xml:space="preserve">RAW-290</t>
  </si>
  <si>
    <t xml:space="preserve">RAW-291</t>
  </si>
  <si>
    <t xml:space="preserve">RAW-292</t>
  </si>
  <si>
    <t xml:space="preserve">RAW-293</t>
  </si>
  <si>
    <t xml:space="preserve">RAW-294</t>
  </si>
  <si>
    <t xml:space="preserve">RAW-295</t>
  </si>
  <si>
    <t xml:space="preserve">RAW-296</t>
  </si>
  <si>
    <t xml:space="preserve">RAW-297</t>
  </si>
  <si>
    <t xml:space="preserve">RAW-298</t>
  </si>
  <si>
    <t xml:space="preserve">RAW-299</t>
  </si>
  <si>
    <t xml:space="preserve">RAW-300</t>
  </si>
  <si>
    <t xml:space="preserve">RAW-301</t>
  </si>
  <si>
    <t xml:space="preserve">RAW-302</t>
  </si>
  <si>
    <t xml:space="preserve">RAW-303</t>
  </si>
  <si>
    <t xml:space="preserve">RAW-304</t>
  </si>
  <si>
    <t xml:space="preserve">RAW-305</t>
  </si>
  <si>
    <t xml:space="preserve">RAW-306</t>
  </si>
  <si>
    <t xml:space="preserve">RAW-307</t>
  </si>
  <si>
    <t xml:space="preserve">RAW-308</t>
  </si>
  <si>
    <t xml:space="preserve">RAW-309</t>
  </si>
  <si>
    <t xml:space="preserve">RAW-310</t>
  </si>
  <si>
    <t xml:space="preserve">Building Automation; Smart Buildings; Multi-objective Optimization; Occupant Comfort; PMV (Predicted Mean Vote); Energy-Comfort Trade-off; Reward Shaping</t>
  </si>
  <si>
    <t xml:space="preserve">RAW-311</t>
  </si>
  <si>
    <t xml:space="preserve">IoT–DRL smart building control architecture</t>
  </si>
  <si>
    <t xml:space="preserve">Mazhar, Tehseen; Guizani, Sghaier; Hamam, Habib</t>
  </si>
  <si>
    <t xml:space="preserve">Next Energy</t>
  </si>
  <si>
    <t xml:space="preserve">Smart buildings; Deep Reinforcement Learning (DRL); Energy optimization; IoT integration; Sustainable energy management</t>
  </si>
  <si>
    <t xml:space="preserve">RAW-312</t>
  </si>
  <si>
    <t xml:space="preserve">Luan, Kai; Jing, Yihan</t>
  </si>
  <si>
    <t xml:space="preserve">Artificial intelligence; Life cycle assessment; Building retrofitting; BIM integration; Sustainable construction; Data ecosystems</t>
  </si>
  <si>
    <t xml:space="preserve">Background Life cycle assessment (LCA) is widely used to evaluate the environmental impacts of building retrofits, yet conventional methods struggle with dynamic data and complex decision-making. Artificial intelligence (AI) offers tools to enhance LCA through predictive modelling, optimisation, and automated data integration. Aim This review synthesises current applications of AI-enabled LCA in building retrofitting, categorising techniques, application areas, and supporting data ecosystems, while identifying challenges and opportunities. Methodology A systematic review of 52 peer-reviewed studies from the last decade was conducted. In the assessment of the studies, a structured quality assessment framework was employed which depended on the type of validation, quality of the data source used, level of application, and the way of handling uncertainties. Performance metrics of the algorithm (R 2, RMSE, MAE), the level of maturity and the appropriateness in the context of retrofit were also compared. Findings Machine learning methods, including regression, decision trees, and neural networks, have been applied to predict retrofit performance, energy use, and life cycle impacts. Comparative analysis of cross-study showed that ensemble techniques (RF, GB) yielded better accuracy (R 2 or greater than 0.90) than single algorithms but at higher computational cost. Optimisation algorithms, such as genetic algorithms and reinforcement learning, support multi-objective trade-offs between cost, carbon emissions, and comfort. There is however a great variation in the depth of validation with most studies being of a simulation only type instead of practical implementation. Automated data management using BIM, IoT sensors, and smart meters enables real-time updates and more accurate assessments. Applications span component-level retrofits in HVAC, glazing, insulation, and lighting, as well as whole-building lifecycle evaluations. Key challenges include data heterogeneity, limited interoperability between AI and LCA platforms, model generalisation, and the transparency of AI outputs. Conclusion AI enhances the scope, accuracy, and adaptability of LCA in building retrofitting, though further progress is needed in standardisation, transparency, and large-scale validation for industry-wide adoption. Key limitations in the service-life model and uncertainty quantification were established in the reviewed literature.</t>
  </si>
  <si>
    <t xml:space="preserve">RAW-313</t>
  </si>
  <si>
    <t xml:space="preserve">Cyber–physical systems; Electric vehicles; Photovoltaic systems; Reinforcement learning; Smart home energy management systems; Sustainable energy integration</t>
  </si>
  <si>
    <t xml:space="preserve">RAW-314</t>
  </si>
  <si>
    <t xml:space="preserve">RAW-315</t>
  </si>
  <si>
    <t xml:space="preserve">Vaniar, Arash Mohammadi; Karimi, Ali; Beglar, Kasra Saberi; Mansouri, Mohammad</t>
  </si>
  <si>
    <t xml:space="preserve">Deep reinforcement learning; Multi-energy systems; Energy management; Energy flexibility</t>
  </si>
  <si>
    <t xml:space="preserve">Multi-energy systems (MESs) are becoming harder to operate as decentralization, decarbonization, and digitalization increase uncertainty, coupling, and real-time control pressure. In this setting, Deep Reinforcement Learning (DRL) is attractive because it can learn adaptive policies from interaction data without requiring a fully specified plant model. This paper reviews DRL applications across device-level control, grid-level coordination, and higher-level multi-agent and hierarchical decision-making, including market-interaction settings. The synthesis rests on 78 studies retained from 93 articles assessed at full text, identified through a structured search of five bibliographic databases covering literature published from 2018 onwards and screened against predefined inclusion and exclusion criteria. The review traces how the field has moved from single-agent designs toward structured multi-agent and hierarchical formulations to handle hybrid action spaces and heterogeneous assets at scale. It also synthesizes practical trends, including safe RL, transfer learning, federated learning, and digital-twin-based validation. At the device-level, off-policy actor–critic methods (TD3, SAC) dominate continuous control of batteries, HVAC, and CHP units, whereas at the grid-level value-based methods prevail for discrete dispatch and voltage control, where constraint enforcement, rather than reward shaping alone, emerges as the key unresolved requirement. A central conclusion is that reported simulation gains are strong, but deployment readiness still depends on better safety guarantees, sample efficiency, interpretability, and benchmark standardization. Based on these findings, the paper outlines a research agenda aimed at closing the gap between algorithmic performance and dependable real-world MES operation.</t>
  </si>
  <si>
    <t xml:space="preserve">RAW-316</t>
  </si>
  <si>
    <t xml:space="preserve">Artificial intelligence; Net-zero building; Building energy; Optimization algorithms; Low-carbon technology; Energy efficiency</t>
  </si>
  <si>
    <t xml:space="preserve">RAW-317</t>
  </si>
  <si>
    <t xml:space="preserve">RAW-318</t>
  </si>
  <si>
    <t xml:space="preserve">Rokonuzzaman, Md.; Mishu, Mahmuda Khatun; Yap, Boon Kar; Nur-E-Alam, Mohammad; Rahman, Kazi Sajedur; Islam, Asif; Pasupuleti, Jagadeesh; Amin, Nowshad</t>
  </si>
  <si>
    <t xml:space="preserve">Artificial intelligence; Internet of things; Home energy management system; Solar photovoltaic energy; Sustainable energy; Smart grid; Smart home-city</t>
  </si>
  <si>
    <t xml:space="preserve">The rapid growth of solar photovoltaic (PV) systems, residential energy storage systems (ESS), Artificial Intelligence (AI) and Internet of Things (IoT)-enabled sensing devices has increased the demand for smart Home Energy Management Systems (HEMS) capable of optimizing energy use in smart buildings. This review presents a structured synthesis of recent research on AI and IoT-integrated HEMS, focusing on forecasting methods, optimization strategies, appliance scheduling, and demand side management (DSM). The analysis reveals that advanced neural network variants and hybrid AI approaches can achieve high accuracy in forecasting; however, the practical deployment is often constrained by computational complexity, limited generalization, and low technology readiness. Reinforcement learning (RL) shows strong potential for adaptive real-time control; however, sample inefficiency and the simulation-to-reality gap remain major challenges. Across the reviewed literature, fragmented IoT communication standards, cybersecurity vulnerabilities, limited prosumer participation, and insufficient validation through hardware-in-the-loop and field testing emerge as key barriers to large-scale adoption. Based on these findings, the paper outlines a future research roadmap emphasizing hybrid AI-optimization frameworks, edge-computing architectures, blockchain-enabled peer-to-peer (P2P) energy trading, and standardized validation protocols. The review provides actionable insights to support the development of scalable, secure, and interoperable HEMS, contributing to the realization of smart, sustainable, and net-zero residential energy systems.</t>
  </si>
  <si>
    <t xml:space="preserve">RAW-319</t>
  </si>
  <si>
    <t xml:space="preserve">RAW-320</t>
  </si>
  <si>
    <t xml:space="preserve">Artificial Intelligence (AI); Deep Learning; Energy Consumption; Home Energy Management System (HEMS); Optimisation Algorithms; Photovoltaic (PV) Systems; Sensors</t>
  </si>
  <si>
    <t xml:space="preserve">RAW-321</t>
  </si>
  <si>
    <t xml:space="preserve">HVAC; Artificial intelligence; Machine learning; Indoor environmental quality; Indoor air quality; Energy efficiency</t>
  </si>
  <si>
    <t xml:space="preserve">RAW-322</t>
  </si>
  <si>
    <t xml:space="preserve">Smart building control; Reinforcement learning; Occupant comfort; Digital twin; Ethics in AI</t>
  </si>
  <si>
    <t xml:space="preserve">RAW-323</t>
  </si>
  <si>
    <t xml:space="preserve">Multi-objectives reinforcement learning; Multi-objectives optimization; Smart building; Systematic review; Decision-making strategies</t>
  </si>
  <si>
    <t xml:space="preserve">RAW-324</t>
  </si>
  <si>
    <t xml:space="preserve">Building energy performance forecasting (BEPF); Physics-based modeling; Black-box modeling; Hybrid-driven; Thermal properties of materials; Weather impact; Occupant behavior; Real-time adaptability; Artificial intelligence (AI) technique</t>
  </si>
  <si>
    <t xml:space="preserve">RAW-325</t>
  </si>
  <si>
    <t xml:space="preserve">Deep reinforcement learning (DRL); Grid-interactive efficient buildings (GEBs); Energy management systems; Building automation; Grid stability</t>
  </si>
  <si>
    <t xml:space="preserve">RAW-326</t>
  </si>
  <si>
    <t xml:space="preserve">Home energy management; Context-aware systems; Artificial intelligence; User personalization; Smart homes</t>
  </si>
  <si>
    <t xml:space="preserve">RAW-327</t>
  </si>
  <si>
    <t xml:space="preserve">Algorithms; Artificial intelligence; Energy in buildings; Energy management; Energy analysis; Machine learning</t>
  </si>
  <si>
    <t xml:space="preserve">RAW-328</t>
  </si>
  <si>
    <t xml:space="preserve">Artificial intelligence; Heating; Ventilation and air-conditioning systems; Operation optimization; Deep learning; Computer vision</t>
  </si>
  <si>
    <t xml:space="preserve">RAW-329</t>
  </si>
  <si>
    <t xml:space="preserve">RAW-330</t>
  </si>
  <si>
    <t xml:space="preserve">RAW-331</t>
  </si>
  <si>
    <t xml:space="preserve">RAW-332</t>
  </si>
  <si>
    <t xml:space="preserve">RAW-333</t>
  </si>
  <si>
    <t xml:space="preserve">RAW-334</t>
  </si>
  <si>
    <t xml:space="preserve">RAW-335</t>
  </si>
  <si>
    <t xml:space="preserve">RAW-336</t>
  </si>
  <si>
    <t xml:space="preserve">Building energy consumption; Building performance simulation; Data-driven modeling; Artificial neural networks; Machine learning</t>
  </si>
  <si>
    <t xml:space="preserve">RAW-337</t>
  </si>
  <si>
    <t xml:space="preserve">Building multi-energy system; Resilience enhancement; Deep reinforcement learning; Extreme disturbance response; Multi-energy coordinated control</t>
  </si>
  <si>
    <t xml:space="preserve">RAW-338</t>
  </si>
  <si>
    <t xml:space="preserve">RAW-339</t>
  </si>
  <si>
    <t xml:space="preserve">RAW-340</t>
  </si>
  <si>
    <t xml:space="preserve">Su, Meng; Aerts, Jean-Marie; Norton, Tomás</t>
  </si>
  <si>
    <t xml:space="preserve">Poultry house; Mechanical ventilation; Ventilation strategies; Cooling and heating systems; Ventilation control</t>
  </si>
  <si>
    <t xml:space="preserve">Mechanical ventilation (MV) system in poultry houses plays a crucial role under intensive farming condition, effectively mitigating overheating, overcooling, excessive humidity, air pollution and airborne pathogens. Investigating MV system in poultry houses involves identifying and analyzing various ventilation strategies, auxiliary cooling and heating systems and ventilation controllers, as well as evaluating their impact on environment and energy efficiency. However, a comprehensive and systematic review focusing specifically on poultry house ventilation systems is still lacking, highlighting the need for an in-depth investigation in this field. The reviewed studies were classified into three major aspects: (1) an overview of MV strategies aimed at maintaining thermal comfort and promoting wet litter drying, including analysis of their advantages, limitations, and possible improvements; (2) evaluation of energy-efficient auxiliary cooling and heating systems; (3) comparison of environmental controllers in terms of control accuracy and energy use. This study emphasizes that ventilation design should account for climatic conditions, building types, and geographical factors, as well as biological variables such as bird type, age, and production schedule. For the research methods, computational fluid dynamics should be coupled with poultry thermoregulation model, and more realistic full-sale experiments are needed to obtain representative data. Furthermore, advanced control approaches, including model predictive control and reinforcement learning should be developed. These aspects are essential for future advancements, particularly in developing integrated, energy-efficient, and adaptive ventilation systems for sustainable poultry production. Abbreviations:ARV, Air recirculation ventilation; CP, Cooling pads;CV, Crossing ventilation; DEC, Direct evaporative cooling; DPIEC, Dew-point indirect evaporative cooling; EAHE, Earth-to-air heat exchangers; C, Fogging cooling; FLC, Fuzzy logic control; GSHP, Ground source heat pump; HRV, Heat recovery ventilation; IEC, Indirect evaporative cooling; LADV, Localised air distribution ventilation; LCC, Life cycle cost; LCE, Life cycle emission; M−cycle EC, Maisotsenko-cycle evaporative cooling; MPC, Model predictive control; MV, Mechanical ventilation; PID, Proportional-integral-derivative; SC, Sprinkling cooling; SSV, Single-side ventilation; TV, Tunnel ventilation; UADV, Upward airflow displacement ventilation.</t>
  </si>
  <si>
    <t xml:space="preserve">RAW-341</t>
  </si>
  <si>
    <t xml:space="preserve">Reinforcement learning; data center cooling; tropical wet climate; ASHRAE Zone 0A; systematic review; PUE; WUE; deep reinforcement learning; building energy optimization</t>
  </si>
  <si>
    <t xml:space="preserve">RAW-342</t>
  </si>
  <si>
    <t xml:space="preserve">Reinforcement learning; Recommendation systems; Human-building interaction; Occupant-centric; Building energy efficiency; Word embeddings; Natural language processing</t>
  </si>
  <si>
    <t xml:space="preserve">RAW-343</t>
  </si>
  <si>
    <t xml:space="preserve">RAW-344</t>
  </si>
  <si>
    <t xml:space="preserve">RAW-345</t>
  </si>
  <si>
    <t xml:space="preserve">IEEE Xplore Citation RIS Download 2026.9.2.14.36.51(1).ris</t>
  </si>
  <si>
    <t xml:space="preserve">Buildings; Adaptation models; Resistance heating; Transformers; Electricity; Water heating; Energy storage; Training; Heat pumps; HVAC; Energy management; Large language models; Sequences; Building energy management system; large language model; generative pre-trained transformer; sequence modeling; generalization</t>
  </si>
  <si>
    <t xml:space="preserve">RAW-346</t>
  </si>
  <si>
    <t xml:space="preserve">HVAC; Buildings; Heuristic algorithms; Adaptation models; Neural networks; Predictive models; Optimization; HVAC control; model-based deep reinforcement learning; model predictive control; energy efficiency; optimal control</t>
  </si>
  <si>
    <t xml:space="preserve">RAW-347</t>
  </si>
  <si>
    <t xml:space="preserve">Sign language; Smart homes; Modeling; Labeling; Modules (abstract algebra); Systematic literature review; Accuracy; Training; Refining; Optimization; Actor-critic method; assistive technologies; deep reinforcement learning (DRL); hearing impairments; sign language recognition (SLR); smart home environments</t>
  </si>
  <si>
    <t xml:space="preserve">RAW-348</t>
  </si>
  <si>
    <t xml:space="preserve">HVAC; Buildings; Energy consumption; Energy efficiency; Heating systems; Optimization; Internet of Things; Artificial intelligence; Sustainable development; Costs; HVAC control systems; energy efficiency; artificial intelligence (AI); Internet of Things (IoT); occupancy detection; building automation; thermal comfort</t>
  </si>
  <si>
    <t xml:space="preserve">RAW-349</t>
  </si>
  <si>
    <t xml:space="preserve">Control systems; Reviews; Heuristic algorithms; Dynamical systems; Reinforcement learning; Industries; Optimization; Space vehicles; Robot kinematics; HVAC; Deep reinforcement learning; RL algorithms; hybrid control strategies; optimization in control systems; model-free control</t>
  </si>
  <si>
    <t xml:space="preserve">RAW-350</t>
  </si>
  <si>
    <t xml:space="preserve">Autonomous mental development; Games; Video games; Character recognition; Sensors; Self-aware; Reinforcement learning; Planning; Multi-agent systems; Context modeling; Autonomous agents; learning; multiagent systems; self-adaptation; self-organization</t>
  </si>
  <si>
    <t xml:space="preserve">RAW-351</t>
  </si>
  <si>
    <t xml:space="preserve">Wireless sensor networks; Sensors; Monitoring; Intelligent sensors; Classification algorithms; Medical services; Older adults; Temperature sensors; Sensor phenomena and characterization; Reviews; Aging-in-place; artificial intelligence (AI); health monitoring systems; Internet of Things (IoT); machine learning (ML); sensor-based elderly care; smart home monitoring; wireless sensor networks (WSNs)</t>
  </si>
  <si>
    <t xml:space="preserve">RAW-352</t>
  </si>
  <si>
    <t xml:space="preserve">Load monitoring; Real-time systems; Smart homes; Load modeling; Computational modeling; Home appliances; Electrical safety; Protection; Accuracy; Performance evaluation; Edge-device coordination (EDC); lightweight deep reinforcement learning; real-time load monitoring; resource manager; task scheduler</t>
  </si>
  <si>
    <t xml:space="preserve">RAW-353</t>
  </si>
  <si>
    <t xml:space="preserve">Topology; Robustness; Modeling; Optimization; Fluid flow; Energy; Software defined networking; Joining processes; Schedules; Scheduling; Deep reinforcement learning (DRL); flow scheduling; network lifetime; software-defined network; topology control; underwater acoustic sensor networks (UASNs)</t>
  </si>
  <si>
    <t xml:space="preserve">RAW-354</t>
  </si>
  <si>
    <t xml:space="preserve">Buildings; Carbon dioxide; Costs; Lighting; Energy management; Indexes; Energy consumption; Demand side management; Optimization; Human intelligence; Carbon emission flow; commercial building; demand side management; human–machine learning (HML)</t>
  </si>
  <si>
    <t xml:space="preserve">RAW-355</t>
  </si>
  <si>
    <t xml:space="preserve">Feeds; Central Processing Unit; Circuits; Feedback; Electronic circuits; Internet of Things; Communication systems; Protocols; Internet; Asynchronous communication; Federated learning; resource-constrained; edge computing; deep reinforcement learning</t>
  </si>
  <si>
    <t xml:space="preserve">RAW-356</t>
  </si>
  <si>
    <t xml:space="preserve">Older adults; Medical services; Aging; Fifth Industrial Revolution; Biological system modeling; Technological innovation; Monitoring; Industries; Surveys; Service robots; Big data analytics; digital twin; elderly healthcare; edge computing; Internet of Things; smart paradigm; service robots</t>
  </si>
  <si>
    <t xml:space="preserve">RAW-357</t>
  </si>
  <si>
    <t xml:space="preserve">Internet of Things; Surveys; Tutorials; Artificial intelligence; Decision making; Cognition; Resource management; Dynamical systems; Data analysis; Cognitive systems; Cloud computing; cognitive computing; IoT; edge computing; federated learning</t>
  </si>
  <si>
    <t xml:space="preserve">RAW-358</t>
  </si>
  <si>
    <t xml:space="preserve">Energy management; Power demand; Predictive models; Fuel cells; Vehicle dynamics; Transportation; Transformers; Electrification; Atmospheric modeling; Roads; Fuel cell electric vehicle; multiobjective optimization; power demand prediction; predictive energy management; transformer network</t>
  </si>
  <si>
    <t xml:space="preserve">RAW-359</t>
  </si>
  <si>
    <t xml:space="preserve">Mechanical Reconciliation and Author-Confirmation Items</t>
  </si>
  <si>
    <t xml:space="preserve">Expected</t>
  </si>
  <si>
    <t xml:space="preserve">Workbook/formula value</t>
  </si>
  <si>
    <t xml:space="preserve">Status</t>
  </si>
  <si>
    <t xml:space="preserve">Action</t>
  </si>
  <si>
    <t xml:space="preserve">Original raw occurrences</t>
  </si>
  <si>
    <t xml:space="preserve">Original unique records</t>
  </si>
  <si>
    <t xml:space="preserve">Sensitivity raw occurrences</t>
  </si>
  <si>
    <t xml:space="preserve">Sensitivity unique records</t>
  </si>
  <si>
    <t xml:space="preserve">Sensitivity genuinely new</t>
  </si>
  <si>
    <t xml:space="preserve">Corrected after recognizing Michailidis and Sierla as already in the corpus</t>
  </si>
  <si>
    <t xml:space="preserve">Final-update raw occurrences</t>
  </si>
  <si>
    <t xml:space="preserve">Final-update unique records</t>
  </si>
  <si>
    <t xml:space="preserve">Final-update genuinely new</t>
  </si>
  <si>
    <t xml:space="preserve">15 original-route + 2 final-update</t>
  </si>
  <si>
    <t xml:space="preserve">Shaqour, Latoń, Michailidis, Sierla, Mohsenpour</t>
  </si>
  <si>
    <t xml:space="preserve">Final included corpus</t>
  </si>
  <si>
    <t xml:space="preserve">Locked by author</t>
  </si>
  <si>
    <t xml:space="preserve">Original screening stage split</t>
  </si>
  <si>
    <t xml:space="preserve">Not available</t>
  </si>
  <si>
    <t xml:space="preserve">DISCLOSED</t>
  </si>
  <si>
    <t xml:space="preserve">Do not fabricate title/abstract versus full-text counts</t>
  </si>
  <si>
    <t xml:space="preserve">Author statement</t>
  </si>
  <si>
    <t xml:space="preserve">Single screener; co-author inclusion assessment; co-author double-coding</t>
  </si>
  <si>
    <t xml:space="preserve">RESOLVED</t>
  </si>
  <si>
    <t xml:space="preserve">One screener; co-author inclusion assessment over all 22; linear-weighted kappa 0.71 (786 pairs) on a six-review subsample</t>
  </si>
  <si>
    <t xml:space="preserve">Independent RIS Verification (all 11 raw exports reparsed)</t>
  </si>
  <si>
    <t xml:space="preserve">Verified value</t>
  </si>
  <si>
    <t xml:space="preserve">Note</t>
  </si>
  <si>
    <t xml:space="preserve">Original raw occurrences from RIS</t>
  </si>
  <si>
    <t xml:space="preserve">180</t>
  </si>
  <si>
    <t xml:space="preserve">PASS</t>
  </si>
  <si>
    <t xml:space="preserve">WoS 56 + SD 70 + IEEE 54</t>
  </si>
  <si>
    <t xml:space="preserve">Original unique after dedup</t>
  </si>
  <si>
    <t xml:space="preserve">172</t>
  </si>
  <si>
    <t xml:space="preserve">8 duplicate occurrences</t>
  </si>
  <si>
    <t xml:space="preserve">Sensitivity raw occurrences from RIS</t>
  </si>
  <si>
    <t xml:space="preserve">103</t>
  </si>
  <si>
    <t xml:space="preserve">WoS 60 + IEEE 23 + SD B 15 + SD A 5</t>
  </si>
  <si>
    <t xml:space="preserve">Sensitivity unique after dedup</t>
  </si>
  <si>
    <t xml:space="preserve">87</t>
  </si>
  <si>
    <t xml:space="preserve">16 duplicate occurrences</t>
  </si>
  <si>
    <t xml:space="preserve">Sensitivity records matching Original 172</t>
  </si>
  <si>
    <t xml:space="preserve">25</t>
  </si>
  <si>
    <t xml:space="preserve">Mechanical DOI/title match</t>
  </si>
  <si>
    <t xml:space="preserve">Sensitivity records already in corpus</t>
  </si>
  <si>
    <t xml:space="preserve">3</t>
  </si>
  <si>
    <t xml:space="preserve">Latoń 10.3390/en17246420; Michailidis 10.3390/en18071724; Sierla 10.3390/en15103526</t>
  </si>
  <si>
    <t xml:space="preserve">Sensitivity previously assessed</t>
  </si>
  <si>
    <t xml:space="preserve">28</t>
  </si>
  <si>
    <t xml:space="preserve">25 + 3</t>
  </si>
  <si>
    <t xml:space="preserve">59</t>
  </si>
  <si>
    <t xml:space="preserve">87 − 28; confirms 59, superseding the earlier figure of 60</t>
  </si>
  <si>
    <t xml:space="preserve">Final-update raw occurrences from RIS</t>
  </si>
  <si>
    <t xml:space="preserve">76</t>
  </si>
  <si>
    <t xml:space="preserve">WoS 26 + SD A 19 + SD B 16 + IEEE 15</t>
  </si>
  <si>
    <t xml:space="preserve">Final-update unique after dedup</t>
  </si>
  <si>
    <t xml:space="preserve">17 duplicate occurrences</t>
  </si>
  <si>
    <t xml:space="preserve">Final-update prior-route overlap split</t>
  </si>
  <si>
    <t xml:space="preserve">12 original + 8 sensitivity</t>
  </si>
  <si>
    <t xml:space="preserve">12 + 8</t>
  </si>
  <si>
    <t xml:space="preserve">Matches Search Log note exactly</t>
  </si>
  <si>
    <t xml:space="preserve">39</t>
  </si>
  <si>
    <t xml:space="preserve">59 − 20</t>
  </si>
  <si>
    <t xml:space="preserve">359</t>
  </si>
  <si>
    <t xml:space="preserve">180 + 103 + 76</t>
  </si>
  <si>
    <t xml:space="preserve">270</t>
  </si>
  <si>
    <t xml:space="preserve">359 − 41 duplicates − 48 previously assessed</t>
  </si>
  <si>
    <t xml:space="preserve">Corpus records present in a main-query export</t>
  </si>
  <si>
    <t xml:space="preserve">17</t>
  </si>
  <si>
    <t xml:space="preserve">Corpus records absent from the main-query exports</t>
  </si>
  <si>
    <t xml:space="preserve">5</t>
  </si>
  <si>
    <t xml:space="preserve">Shaqour, Latoń, Michailidis, Sierla, Mohsenpour — supplementary, as claimed; three of the five were re-retrieved by the sensitivity search</t>
  </si>
  <si>
    <t xml:space="preserve">Final Update 59 sheet integrity</t>
  </si>
  <si>
    <t xml:space="preserve">Record-level</t>
  </si>
  <si>
    <t xml:space="preserve">Rebuilt</t>
  </si>
  <si>
    <t xml:space="preserve">FIXED</t>
  </si>
  <si>
    <t xml:space="preserve">Prior sheet held a repeated-string block with no bibliographic fields</t>
  </si>
  <si>
    <t xml:space="preserve">Provenance audit (Provenance 22 sheet)</t>
  </si>
  <si>
    <t xml:space="preserve">Corpus members in a main-query export</t>
  </si>
  <si>
    <t xml:space="preserve">15 original + 2 final update</t>
  </si>
  <si>
    <t xml:space="preserve">Corpus members absent from the main-query exports</t>
  </si>
  <si>
    <t xml:space="preserve">Supplementary records re-retrieved by a later route</t>
  </si>
  <si>
    <t xml:space="preserve">Latoń, Michailidis, and Sierla, by the sensitivity search</t>
  </si>
  <si>
    <t xml:space="preserve">Supplementary records with no corroborating retrieval</t>
  </si>
  <si>
    <t xml:space="preserve">2</t>
  </si>
  <si>
    <t xml:space="preserve">Shaqour and Mohsenpour; earliest documented route reported</t>
  </si>
  <si>
    <t xml:space="preserve">Backward-citation source reconstructed</t>
  </si>
  <si>
    <t xml:space="preserve">Not claimed where the discovery log was not retained</t>
  </si>
  <si>
    <t xml:space="preserve">Corpus-row corrections applied during revision</t>
  </si>
  <si>
    <t xml:space="preserve">INC-02 record identity</t>
  </si>
  <si>
    <t xml:space="preserve">Corrected</t>
  </si>
  <si>
    <t xml:space="preserve">The row carried the metadata of a different review by an overlapping team (Han et al. 2019, Sustainable Cities and Society, 10.1016/j.scs.2019.101748). The coded corpus member is Han et al. (2021), Energy and Built Environment 2(2):137-148, 10.1016/j.enbenv.2020.08.005, present in the original export as ORI-059. Provenance unaffected.</t>
  </si>
  <si>
    <t xml:space="preserve">INC-05 record identity</t>
  </si>
  <si>
    <t xml:space="preserve">The row carried Alanne and Sierla, 10.1016/j.scs.2021.103445, which was never a corpus member. The coded corpus member is Sierla, Ihasalo and Vyatkin, Energies 15(10):3526, 10.3390/en15103526, which appears only in the sensitivity export as SENS-036.</t>
  </si>
  <si>
    <t xml:space="preserve">Accounting effect of the INC-05 correction</t>
  </si>
  <si>
    <t xml:space="preserve">Recomputed</t>
  </si>
  <si>
    <t xml:space="preserve">Original-route inclusions 16 to 15; sensitivity previously assessed 27 to 28; genuinely new 60 to 59; database-derived 17; supplementary 5; distinct records screened 270</t>
  </si>
  <si>
    <t xml:space="preserve">APPLIED</t>
  </si>
  <si>
    <t xml:space="preserve">Total excluded records (253) and the final coded corpus (22) are unchanged, because Alanne and Sierla moves into the original-route exclusions as Sierla et al. leaves the sensitivity-route new records.</t>
  </si>
  <si>
    <t xml:space="preserve">ORI-093 eligibility (Han et al. 2019, 10.1016/j.scs.2019.101748)</t>
  </si>
  <si>
    <t xml:space="preserve">Previously mislabelled as the coded Han corpus member, which concealed it. Resolved under the Independence criterion already in the Eligibility Codebook, on the basis of a partition statement in the included Han et al. (2021) review itself. See Eligibility Codebook, Independence row, and ORI-093 in the Original 172 register.</t>
  </si>
  <si>
    <t xml:space="preserve">Companion-publication consistency sweep</t>
  </si>
  <si>
    <t xml:space="preserve">All corpus first authors</t>
  </si>
  <si>
    <t xml:space="preserve">9 candidate records</t>
  </si>
  <si>
    <t xml:space="preserve">Every record in all three exports whose first author matches a corpus paper first author was re-examined. Han et al. (2019) is the only one requiring the Independence criterion. The others are excluded by criteria already stated: Michailidis et al. Model-Free HVAC Control (RL not central); Michailidis et al. ML for Energy Management (not RL); Michailidis et al. RL for Smart Grids (grid scope); H. Zhang et al. EPEC 2020 (conference, held as contextual evidence); Mazhar et al. Next Energy (primary research); L. Yu et al. Proc. IEEE (different domain).</t>
  </si>
  <si>
    <t xml:space="preserve">Independence criterion not triggered by shared authorship alone</t>
  </si>
  <si>
    <t xml:space="preserve">Li 2025 and Lei 2026 both retained</t>
  </si>
  <si>
    <t xml:space="preserve">Both retained</t>
  </si>
  <si>
    <t xml:space="preserve">The two share three authors, a corresponding-author pair and a funding stream, but select on orthogonal axes (BIPV technology versus resilience objective), overlap in roughly seven primary studies out of approximately 18 and 160 respectively, and neither refers excluded literature to the other. No partition statement exists in either paper, so the criterion does not apply.</t>
  </si>
</sst>
</file>

<file path=xl/styles.xml><?xml version="1.0" encoding="utf-8"?>
<styleSheet xmlns="http://schemas.openxmlformats.org/spreadsheetml/2006/main">
  <numFmts count="3">
    <numFmt numFmtId="164" formatCode="General"/>
    <numFmt numFmtId="165" formatCode="General"/>
    <numFmt numFmtId="166" formatCode="yyyy\-mm\-dd"/>
  </numFmts>
  <fonts count="11">
    <font>
      <sz val="10"/>
      <name val="Arial"/>
      <family val="2"/>
    </font>
    <font>
      <sz val="10"/>
      <name val="Arial"/>
      <family val="0"/>
    </font>
    <font>
      <sz val="10"/>
      <name val="Arial"/>
      <family val="0"/>
    </font>
    <font>
      <sz val="10"/>
      <name val="Arial"/>
      <family val="0"/>
    </font>
    <font>
      <sz val="11"/>
      <name val="Calibri"/>
      <family val="0"/>
      <charset val="1"/>
    </font>
    <font>
      <b val="true"/>
      <sz val="15"/>
      <color rgb="FFFFFFFF"/>
      <name val="Calibri"/>
      <family val="0"/>
      <charset val="1"/>
    </font>
    <font>
      <b val="true"/>
      <sz val="11"/>
      <color rgb="FFFFFFFF"/>
      <name val="Calibri"/>
      <family val="0"/>
      <charset val="1"/>
    </font>
    <font>
      <b val="true"/>
      <sz val="11"/>
      <name val="Calibri"/>
      <family val="0"/>
      <charset val="1"/>
    </font>
    <font>
      <b val="true"/>
      <sz val="12"/>
      <name val="Cambria"/>
      <family val="0"/>
      <charset val="1"/>
    </font>
    <font>
      <b val="true"/>
      <sz val="11"/>
      <name val="Cambria"/>
      <family val="0"/>
      <charset val="1"/>
    </font>
    <font>
      <sz val="11"/>
      <name val="Noto Sans CJK SC"/>
      <family val="2"/>
    </font>
  </fonts>
  <fills count="4">
    <fill>
      <patternFill patternType="none"/>
    </fill>
    <fill>
      <patternFill patternType="gray125"/>
    </fill>
    <fill>
      <patternFill patternType="solid">
        <fgColor rgb="FF17365D"/>
        <bgColor rgb="FF333333"/>
      </patternFill>
    </fill>
    <fill>
      <patternFill patternType="solid">
        <fgColor rgb="FFD9EAF7"/>
        <bgColor rgb="FFD9E2F3"/>
      </patternFill>
    </fill>
  </fills>
  <borders count="10">
    <border diagonalUp="false" diagonalDown="false">
      <left/>
      <right/>
      <top/>
      <bottom/>
      <diagonal/>
    </border>
    <border diagonalUp="false" diagonalDown="false">
      <left/>
      <right style="thin">
        <color rgb="FFD9E2F3"/>
      </right>
      <top/>
      <bottom style="thin">
        <color rgb="FFD9E2F3"/>
      </bottom>
      <diagonal/>
    </border>
    <border diagonalUp="false" diagonalDown="false">
      <left style="thin">
        <color rgb="FFD9E2F3"/>
      </left>
      <right style="thin">
        <color rgb="FFD9E2F3"/>
      </right>
      <top/>
      <bottom style="thin">
        <color rgb="FFD9E2F3"/>
      </bottom>
      <diagonal/>
    </border>
    <border diagonalUp="false" diagonalDown="false">
      <left style="thin">
        <color rgb="FFD9E2F3"/>
      </left>
      <right/>
      <top/>
      <bottom style="thin">
        <color rgb="FFD9E2F3"/>
      </bottom>
      <diagonal/>
    </border>
    <border diagonalUp="false" diagonalDown="false">
      <left/>
      <right style="thin">
        <color rgb="FFD9E2F3"/>
      </right>
      <top style="thin">
        <color rgb="FFD9E2F3"/>
      </top>
      <bottom style="thin">
        <color rgb="FFD9E2F3"/>
      </bottom>
      <diagonal/>
    </border>
    <border diagonalUp="false" diagonalDown="false">
      <left style="thin">
        <color rgb="FFD9E2F3"/>
      </left>
      <right style="thin">
        <color rgb="FFD9E2F3"/>
      </right>
      <top style="thin">
        <color rgb="FFD9E2F3"/>
      </top>
      <bottom style="thin">
        <color rgb="FFD9E2F3"/>
      </bottom>
      <diagonal/>
    </border>
    <border diagonalUp="false" diagonalDown="false">
      <left style="thin">
        <color rgb="FFD9E2F3"/>
      </left>
      <right/>
      <top style="thin">
        <color rgb="FFD9E2F3"/>
      </top>
      <bottom style="thin">
        <color rgb="FFD9E2F3"/>
      </bottom>
      <diagonal/>
    </border>
    <border diagonalUp="false" diagonalDown="false">
      <left/>
      <right style="thin">
        <color rgb="FFD9E2F3"/>
      </right>
      <top style="thin">
        <color rgb="FFD9E2F3"/>
      </top>
      <bottom/>
      <diagonal/>
    </border>
    <border diagonalUp="false" diagonalDown="false">
      <left style="thin">
        <color rgb="FFD9E2F3"/>
      </left>
      <right style="thin">
        <color rgb="FFD9E2F3"/>
      </right>
      <top style="thin">
        <color rgb="FFD9E2F3"/>
      </top>
      <bottom/>
      <diagonal/>
    </border>
    <border diagonalUp="false" diagonalDown="false">
      <left style="thin">
        <color rgb="FFD9E2F3"/>
      </left>
      <right/>
      <top style="thin">
        <color rgb="FFD9E2F3"/>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20" applyFont="true" applyBorder="true" applyAlignment="true" applyProtection="false">
      <alignment horizontal="left" vertical="center" textRotation="0" wrapText="false" indent="0" shrinkToFit="false"/>
      <protection locked="true" hidden="false"/>
    </xf>
    <xf numFmtId="164" fontId="6" fillId="2" borderId="0" xfId="20" applyFont="true" applyBorder="false" applyAlignment="true" applyProtection="false">
      <alignment horizontal="general" vertical="center" textRotation="0" wrapText="true" indent="0" shrinkToFit="false"/>
      <protection locked="true" hidden="false"/>
    </xf>
    <xf numFmtId="164" fontId="7" fillId="3" borderId="0" xfId="20" applyFont="true" applyBorder="false" applyAlignment="true" applyProtection="false">
      <alignment horizontal="general" vertical="top" textRotation="0" wrapText="true" indent="0" shrinkToFit="false"/>
      <protection locked="true" hidden="false"/>
    </xf>
    <xf numFmtId="164" fontId="4" fillId="0" borderId="0" xfId="20" applyFont="true" applyBorder="false" applyAlignment="true" applyProtection="false">
      <alignment horizontal="general" vertical="bottom" textRotation="0" wrapText="true" indent="0" shrinkToFit="false"/>
      <protection locked="true" hidden="false"/>
    </xf>
    <xf numFmtId="164" fontId="4" fillId="0" borderId="0" xfId="20" applyFont="true" applyBorder="false" applyAlignment="true" applyProtection="false">
      <alignment horizontal="general" vertical="top" textRotation="0" wrapText="true" indent="0" shrinkToFit="false"/>
      <protection locked="true" hidden="false"/>
    </xf>
    <xf numFmtId="164" fontId="6" fillId="2" borderId="1" xfId="20" applyFont="true" applyBorder="true" applyAlignment="true" applyProtection="false">
      <alignment horizontal="general" vertical="center" textRotation="0" wrapText="true" indent="0" shrinkToFit="false"/>
      <protection locked="true" hidden="false"/>
    </xf>
    <xf numFmtId="164" fontId="6" fillId="2" borderId="2" xfId="20" applyFont="true" applyBorder="true" applyAlignment="true" applyProtection="false">
      <alignment horizontal="general" vertical="center" textRotation="0" wrapText="true" indent="0" shrinkToFit="false"/>
      <protection locked="true" hidden="false"/>
    </xf>
    <xf numFmtId="164" fontId="6" fillId="2" borderId="3" xfId="20" applyFont="true" applyBorder="true" applyAlignment="true" applyProtection="false">
      <alignment horizontal="general" vertical="center" textRotation="0" wrapText="true" indent="0" shrinkToFit="false"/>
      <protection locked="true" hidden="false"/>
    </xf>
    <xf numFmtId="164" fontId="4" fillId="0" borderId="4" xfId="20" applyFont="true" applyBorder="true" applyAlignment="true" applyProtection="false">
      <alignment horizontal="general" vertical="bottom" textRotation="0" wrapText="true" indent="0" shrinkToFit="false"/>
      <protection locked="true" hidden="false"/>
    </xf>
    <xf numFmtId="164" fontId="4" fillId="0" borderId="5" xfId="20" applyFont="false" applyBorder="true" applyAlignment="true" applyProtection="false">
      <alignment horizontal="general" vertical="bottom" textRotation="0" wrapText="true" indent="0" shrinkToFit="false"/>
      <protection locked="true" hidden="false"/>
    </xf>
    <xf numFmtId="164" fontId="4" fillId="0" borderId="6" xfId="20" applyFont="true" applyBorder="true" applyAlignment="true" applyProtection="false">
      <alignment horizontal="general" vertical="bottom" textRotation="0" wrapText="true" indent="0" shrinkToFit="false"/>
      <protection locked="true" hidden="false"/>
    </xf>
    <xf numFmtId="164" fontId="7" fillId="3" borderId="7" xfId="20" applyFont="true" applyBorder="true" applyAlignment="true" applyProtection="false">
      <alignment horizontal="general" vertical="bottom" textRotation="0" wrapText="true" indent="0" shrinkToFit="false"/>
      <protection locked="true" hidden="false"/>
    </xf>
    <xf numFmtId="165" fontId="7" fillId="3" borderId="8" xfId="20" applyFont="true" applyBorder="true" applyAlignment="true" applyProtection="false">
      <alignment horizontal="general" vertical="bottom" textRotation="0" wrapText="true" indent="0" shrinkToFit="false"/>
      <protection locked="true" hidden="false"/>
    </xf>
    <xf numFmtId="164" fontId="7" fillId="3" borderId="9" xfId="20" applyFont="true" applyBorder="true" applyAlignment="true" applyProtection="false">
      <alignment horizontal="general" vertical="bottom" textRotation="0" wrapText="true" indent="0" shrinkToFit="false"/>
      <protection locked="true" hidden="false"/>
    </xf>
    <xf numFmtId="164" fontId="6" fillId="2" borderId="0" xfId="20" applyFont="true" applyBorder="false" applyAlignment="true" applyProtection="false">
      <alignment horizontal="general" vertical="top" textRotation="0" wrapText="true" indent="0" shrinkToFit="false"/>
      <protection locked="true" hidden="false"/>
    </xf>
    <xf numFmtId="166" fontId="4" fillId="0" borderId="0" xfId="20" applyFont="false" applyBorder="false" applyAlignment="true" applyProtection="false">
      <alignment horizontal="general" vertical="top" textRotation="0" wrapText="true" indent="0" shrinkToFit="false"/>
      <protection locked="true" hidden="false"/>
    </xf>
    <xf numFmtId="166" fontId="4" fillId="0" borderId="0" xfId="2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8" fillId="0" borderId="0" xfId="20" applyFont="true" applyBorder="false" applyAlignment="false" applyProtection="false">
      <alignment horizontal="general" vertical="bottom" textRotation="0" wrapText="false" indent="0" shrinkToFit="false"/>
      <protection locked="true" hidden="false"/>
    </xf>
    <xf numFmtId="164" fontId="4" fillId="0" borderId="0" xfId="20" applyFont="true" applyBorder="true" applyAlignment="true" applyProtection="false">
      <alignment horizontal="general" vertical="top" textRotation="0" wrapText="true" indent="0" shrinkToFit="false"/>
      <protection locked="true" hidden="false"/>
    </xf>
    <xf numFmtId="164" fontId="4" fillId="0" borderId="0" xfId="20" applyFont="true" applyBorder="false" applyAlignment="true" applyProtection="false">
      <alignment horizontal="general" vertical="top" textRotation="0" wrapText="false" indent="0" shrinkToFit="false"/>
      <protection locked="true" hidden="false"/>
    </xf>
    <xf numFmtId="164" fontId="9" fillId="0" borderId="0" xfId="20" applyFont="true" applyBorder="false" applyAlignment="false" applyProtection="false">
      <alignment horizontal="general" vertical="bottom" textRotation="0" wrapText="false" indent="0" shrinkToFit="false"/>
      <protection locked="true" hidden="false"/>
    </xf>
    <xf numFmtId="164" fontId="5" fillId="0" borderId="0" xfId="20" applyFont="true" applyBorder="false" applyAlignment="false" applyProtection="false">
      <alignment horizontal="general" vertical="bottom" textRotation="0" wrapText="false" indent="0" shrinkToFit="false"/>
      <protection locked="true" hidden="false"/>
    </xf>
    <xf numFmtId="164" fontId="4" fillId="0" borderId="0" xfId="20" applyFont="false" applyBorder="false" applyAlignment="true" applyProtection="false">
      <alignment horizontal="general" vertical="bottom" textRotation="0" wrapText="true" indent="0" shrinkToFit="false"/>
      <protection locked="true" hidden="false"/>
    </xf>
    <xf numFmtId="164" fontId="7" fillId="0" borderId="0" xfId="20" applyFont="true" applyBorder="fals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dxfs count="9">
    <dxf>
      <fill>
        <patternFill patternType="solid">
          <fgColor rgb="FF17365D"/>
          <bgColor rgb="FF000000"/>
        </patternFill>
      </fill>
    </dxf>
    <dxf>
      <fill>
        <patternFill patternType="solid">
          <bgColor rgb="FF000000"/>
        </patternFill>
      </fill>
    </dxf>
    <dxf>
      <fill>
        <patternFill patternType="solid">
          <fgColor rgb="FFFFFFFF"/>
          <bgColor rgb="FF000000"/>
        </patternFill>
      </fill>
    </dxf>
    <dxf>
      <fill>
        <patternFill patternType="solid">
          <fgColor rgb="FFE2F0D9"/>
          <bgColor rgb="FF000000"/>
        </patternFill>
      </fill>
    </dxf>
    <dxf>
      <fill>
        <patternFill>
          <bgColor rgb="FFE2F0D9"/>
        </patternFill>
      </fill>
    </dxf>
    <dxf>
      <fill>
        <patternFill patternType="solid">
          <fgColor rgb="FFFCE4D6"/>
          <bgColor rgb="FF000000"/>
        </patternFill>
      </fill>
    </dxf>
    <dxf>
      <fill>
        <patternFill patternType="solid">
          <fgColor rgb="FFFFF2CC"/>
          <bgColor rgb="FF000000"/>
        </patternFill>
      </fill>
    </dxf>
    <dxf>
      <fill>
        <patternFill>
          <bgColor rgb="FFFFF2CC"/>
        </patternFill>
      </fill>
    </dxf>
    <dxf>
      <fill>
        <patternFill>
          <bgColor rgb="FFFCE4D6"/>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9EAF7"/>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17365D"/>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ContextualEvidenceTable" displayName="ContextualEvidenceTable" ref="A3:F9" headerRowCount="1" totalsRowCount="0" totalsRowShown="0">
  <autoFilter ref="A3:F9"/>
  <tableColumns count="6">
    <tableColumn id="1" name="Title"/>
    <tableColumn id="2" name="Authors"/>
    <tableColumn id="3" name="Year"/>
    <tableColumn id="4" name="DOI"/>
    <tableColumn id="5" name="Type/scope"/>
    <tableColumn id="6" name="Treatment"/>
  </tableColumns>
</table>
</file>

<file path=xl/tables/table2.xml><?xml version="1.0" encoding="utf-8"?>
<table xmlns="http://schemas.openxmlformats.org/spreadsheetml/2006/main" id="2" name="EligibilityTable" displayName="EligibilityTable" ref="A3:F11" headerRowCount="1" totalsRowCount="0" totalsRowShown="0">
  <autoFilter ref="A3:F11"/>
  <tableColumns count="6">
    <tableColumn id="1" name="Dimension"/>
    <tableColumn id="2" name="Include when"/>
    <tableColumn id="3" name="Exclude when"/>
    <tableColumn id="4" name="Evidence checked"/>
    <tableColumn id="5" name="Primary exclusion label"/>
    <tableColumn id="6" name="Final scope clarification"/>
  </tableColumns>
</table>
</file>

<file path=xl/tables/table3.xml><?xml version="1.0" encoding="utf-8"?>
<table xmlns="http://schemas.openxmlformats.org/spreadsheetml/2006/main" id="3" name="FullTextExclusionsTable" displayName="FullTextExclusionsTable" ref="A3:G14" headerRowCount="1" totalsRowCount="0" totalsRowShown="0">
  <autoFilter ref="A3:G14"/>
  <tableColumns count="7">
    <tableColumn id="1" name="Title"/>
    <tableColumn id="2" name="Authors"/>
    <tableColumn id="3" name="Year"/>
    <tableColumn id="4" name="DOI"/>
    <tableColumn id="5" name="Route"/>
    <tableColumn id="6" name="Primary exclusion reason"/>
    <tableColumn id="7" name="Treatment"/>
  </tableColumns>
</table>
</file>

<file path=xl/tables/table4.xml><?xml version="1.0" encoding="utf-8"?>
<table xmlns="http://schemas.openxmlformats.org/spreadsheetml/2006/main" id="4" name="IncludedCorpusTable" displayName="IncludedCorpusTable" ref="A3:J25" headerRowCount="1" totalsRowCount="0" totalsRowShown="0">
  <autoFilter ref="A3:J25"/>
  <tableColumns count="10">
    <tableColumn id="1" name="Corpus ID"/>
    <tableColumn id="2" name="Title"/>
    <tableColumn id="3" name="Authors"/>
    <tableColumn id="4" name="Year"/>
    <tableColumn id="5" name="Venue"/>
    <tableColumn id="6" name="DOI"/>
    <tableColumn id="7" name="Inclusion route"/>
    <tableColumn id="8" name="Corpus status"/>
    <tableColumn id="9" name="Database-derived?"/>
    <tableColumn id="10" name="Inclusion rationale"/>
  </tableColumns>
</table>
</file>

<file path=xl/tables/table5.xml><?xml version="1.0" encoding="utf-8"?>
<table xmlns="http://schemas.openxmlformats.org/spreadsheetml/2006/main" id="5" name="OriginalMasterTable" displayName="OriginalMasterTable" ref="A3:O175" headerRowCount="1" totalsRowCount="0" totalsRowShown="0">
  <autoFilter ref="A3:O175"/>
  <tableColumns count="15">
    <tableColumn id="1" name="Original ID"/>
    <tableColumn id="2" name="Sources"/>
    <tableColumn id="3" name="Occurrence count"/>
    <tableColumn id="4" name="Title"/>
    <tableColumn id="5" name="Authors"/>
    <tableColumn id="6" name="Year"/>
    <tableColumn id="7" name="Type"/>
    <tableColumn id="8" name="Venue"/>
    <tableColumn id="9" name="DOI"/>
    <tableColumn id="10" name="Final decision"/>
    <tableColumn id="11" name="Primary reason"/>
    <tableColumn id="12" name="Assessment stage"/>
    <tableColumn id="13" name="Decision note"/>
    <tableColumn id="14" name="Source files"/>
    <tableColumn id="15" name="Abstract"/>
  </tableColumns>
</table>
</file>

<file path=xl/tables/table6.xml><?xml version="1.0" encoding="utf-8"?>
<table xmlns="http://schemas.openxmlformats.org/spreadsheetml/2006/main" id="6" name="RawOccurrencesTable" displayName="RawOccurrencesTable" ref="A3:N362" headerRowCount="1" totalsRowCount="0" totalsRowShown="0">
  <autoFilter ref="A3:N362"/>
  <tableColumns count="14">
    <tableColumn id="1" name="Occurrence ID"/>
    <tableColumn id="2" name="Route"/>
    <tableColumn id="3" name="Database"/>
    <tableColumn id="4" name="Search date"/>
    <tableColumn id="5" name="Source file"/>
    <tableColumn id="6" name="Record no."/>
    <tableColumn id="7" name="Type"/>
    <tableColumn id="8" name="Title"/>
    <tableColumn id="9" name="Authors"/>
    <tableColumn id="10" name="Year"/>
    <tableColumn id="11" name="Venue"/>
    <tableColumn id="12" name="DOI"/>
    <tableColumn id="13" name="Keywords"/>
    <tableColumn id="14" name="Abstract"/>
  </tableColumns>
</table>
</file>

<file path=xl/tables/table7.xml><?xml version="1.0" encoding="utf-8"?>
<table xmlns="http://schemas.openxmlformats.org/spreadsheetml/2006/main" id="7" name="SearchLogTable" displayName="SearchLogTable" ref="A3:H17" headerRowCount="1" totalsRowCount="0" totalsRowShown="0">
  <autoFilter ref="A3:H17"/>
  <tableColumns count="8">
    <tableColumn id="1" name="Route"/>
    <tableColumn id="2" name="Database/export"/>
    <tableColumn id="3" name="Search date"/>
    <tableColumn id="4" name="Year filter"/>
    <tableColumn id="5" name="Raw occurrences"/>
    <tableColumn id="6" name="Unique after route deduplication"/>
    <tableColumn id="7" name="Prior records removed"/>
    <tableColumn id="8" name="Notes"/>
  </tableColumns>
</table>
</file>

<file path=xl/tables/table8.xml><?xml version="1.0" encoding="utf-8"?>
<table xmlns="http://schemas.openxmlformats.org/spreadsheetml/2006/main" id="8" name="SearchStringsTable" displayName="SearchStringsTable" ref="A3:F11" headerRowCount="1" totalsRowCount="0" totalsRowShown="0">
  <autoFilter ref="A3:F11"/>
  <tableColumns count="6">
    <tableColumn id="1" name="Route"/>
    <tableColumn id="2" name="Database"/>
    <tableColumn id="3" name="Fields"/>
    <tableColumn id="4" name="Exact query / implementation"/>
    <tableColumn id="5" name="Filters"/>
    <tableColumn id="6" name="Provenance note"/>
  </tableColumns>
</table>
</file>

<file path=xl/tables/table9.xml><?xml version="1.0" encoding="utf-8"?>
<table xmlns="http://schemas.openxmlformats.org/spreadsheetml/2006/main" id="9" name="SensitivityMasterFinalTable" displayName="SensitivityMasterFinalTable" ref="A3:Q90" headerRowCount="1" totalsRowCount="0" totalsRowShown="0">
  <autoFilter ref="A3:Q90"/>
  <tableColumns count="17">
    <tableColumn id="1" name="Sensitivity ID"/>
    <tableColumn id="2" name="Sources"/>
    <tableColumn id="3" name="Source count"/>
    <tableColumn id="4" name="Title"/>
    <tableColumn id="5" name="Authors"/>
    <tableColumn id="6" name="Year"/>
    <tableColumn id="7" name="Type"/>
    <tableColumn id="8" name="Publication"/>
    <tableColumn id="9" name="DOI"/>
    <tableColumn id="10" name="Original 172 match"/>
    <tableColumn id="11" name="Current corpus match"/>
    <tableColumn id="12" name="Screening decision"/>
    <tableColumn id="13" name="Primary exclusion reason"/>
    <tableColumn id="14" name="Notes"/>
    <tableColumn id="15" name="Occurrence count"/>
    <tableColumn id="16" name="Source files"/>
    <tableColumn id="17" name="Abstract"/>
  </tableColumns>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table" Target="../tables/table7.xml"/>
</Relationships>
</file>

<file path=xl/worksheets/_rels/sheet4.xml.rels><?xml version="1.0" encoding="UTF-8"?>
<Relationships xmlns="http://schemas.openxmlformats.org/package/2006/relationships"><Relationship Id="rId1" Type="http://schemas.openxmlformats.org/officeDocument/2006/relationships/table" Target="../tables/table8.xml"/>
</Relationships>
</file>

<file path=xl/worksheets/_rels/sheet5.xml.rels><?xml version="1.0" encoding="UTF-8"?>
<Relationships xmlns="http://schemas.openxmlformats.org/package/2006/relationships"><Relationship Id="rId1" Type="http://schemas.openxmlformats.org/officeDocument/2006/relationships/table" Target="../tables/table2.xml"/>
</Relationships>
</file>

<file path=xl/worksheets/_rels/sheet6.xml.rels><?xml version="1.0" encoding="UTF-8"?>
<Relationships xmlns="http://schemas.openxmlformats.org/package/2006/relationships"><Relationship Id="rId1" Type="http://schemas.openxmlformats.org/officeDocument/2006/relationships/table" Target="../tables/table4.xml"/>
</Relationships>
</file>

<file path=xl/worksheets/_rels/sheet8.xml.rels><?xml version="1.0" encoding="UTF-8"?>
<Relationships xmlns="http://schemas.openxmlformats.org/package/2006/relationships"><Relationship Id="rId1" Type="http://schemas.openxmlformats.org/officeDocument/2006/relationships/table" Target="../tables/table5.xml"/>
</Relationships>
</file>

<file path=xl/worksheets/_rels/sheet9.xml.rels><?xml version="1.0" encoding="UTF-8"?>
<Relationships xmlns="http://schemas.openxmlformats.org/package/2006/relationships"><Relationship Id="rId1" Type="http://schemas.openxmlformats.org/officeDocument/2006/relationships/table" Target="../tables/table9.xml"/>
</Relationships>
</file>

<file path=xl/worksheets/_rels/sheet10.xml.rels><?xml version="1.0" encoding="UTF-8"?>
<Relationships xmlns="http://schemas.openxmlformats.org/package/2006/relationships"><Relationship Id="rId1" Type="http://schemas.openxmlformats.org/officeDocument/2006/relationships/drawing" Target="../drawings/drawing1.xml"/>
</Relationships>
</file>

<file path=xl/worksheets/_rels/sheet11.xml.rels><?xml version="1.0" encoding="UTF-8"?>
<Relationships xmlns="http://schemas.openxmlformats.org/package/2006/relationships"><Relationship Id="rId1" Type="http://schemas.openxmlformats.org/officeDocument/2006/relationships/table" Target="../tables/table3.xml"/>
</Relationships>
</file>

<file path=xl/worksheets/_rels/sheet12.xml.rels><?xml version="1.0" encoding="UTF-8"?>
<Relationships xmlns="http://schemas.openxmlformats.org/package/2006/relationships"><Relationship Id="rId1" Type="http://schemas.openxmlformats.org/officeDocument/2006/relationships/table" Target="../tables/table1.xml"/>
</Relationships>
</file>

<file path=xl/worksheets/_rels/sheet13.xml.rels><?xml version="1.0" encoding="UTF-8"?>
<Relationships xmlns="http://schemas.openxmlformats.org/package/2006/relationships"><Relationship Id="rId1" Type="http://schemas.openxmlformats.org/officeDocument/2006/relationships/table" Target="../tables/table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9"/>
    <col collapsed="false" customWidth="true" hidden="false" outlineLevel="0" max="2" min="2" style="0" width="105"/>
  </cols>
  <sheetData>
    <row r="1" customFormat="false" ht="30" hidden="false" customHeight="true" outlineLevel="0" collapsed="false">
      <c r="A1" s="1" t="s">
        <v>0</v>
      </c>
      <c r="B1" s="1"/>
      <c r="C1" s="1"/>
      <c r="D1" s="1"/>
      <c r="E1" s="1"/>
      <c r="F1" s="1"/>
    </row>
    <row r="3" customFormat="false" ht="15" hidden="false" customHeight="false" outlineLevel="0" collapsed="false">
      <c r="A3" s="2" t="s">
        <v>1</v>
      </c>
      <c r="B3" s="2" t="s">
        <v>2</v>
      </c>
    </row>
    <row r="4" customFormat="false" ht="15" hidden="false" customHeight="false" outlineLevel="0" collapsed="false">
      <c r="A4" s="3" t="s">
        <v>3</v>
      </c>
      <c r="B4" s="4" t="s">
        <v>4</v>
      </c>
    </row>
    <row r="5" customFormat="false" ht="15" hidden="false" customHeight="false" outlineLevel="0" collapsed="false">
      <c r="A5" s="3" t="s">
        <v>5</v>
      </c>
      <c r="B5" s="4" t="s">
        <v>6</v>
      </c>
    </row>
    <row r="6" customFormat="false" ht="15" hidden="false" customHeight="false" outlineLevel="0" collapsed="false">
      <c r="A6" s="3" t="s">
        <v>7</v>
      </c>
      <c r="B6" s="4" t="n">
        <v>22</v>
      </c>
    </row>
    <row r="7" customFormat="false" ht="15" hidden="false" customHeight="false" outlineLevel="0" collapsed="false">
      <c r="A7" s="3" t="s">
        <v>8</v>
      </c>
      <c r="B7" s="4" t="n">
        <v>17</v>
      </c>
    </row>
    <row r="8" customFormat="false" ht="15" hidden="false" customHeight="false" outlineLevel="0" collapsed="false">
      <c r="A8" s="3" t="s">
        <v>9</v>
      </c>
      <c r="B8" s="4" t="n">
        <v>5</v>
      </c>
    </row>
    <row r="9" customFormat="false" ht="15" hidden="false" customHeight="false" outlineLevel="0" collapsed="false">
      <c r="A9" s="3" t="s">
        <v>10</v>
      </c>
      <c r="B9" s="4" t="s">
        <v>11</v>
      </c>
    </row>
    <row r="10" customFormat="false" ht="15" hidden="false" customHeight="false" outlineLevel="0" collapsed="false">
      <c r="A10" s="3" t="s">
        <v>12</v>
      </c>
      <c r="B10" s="4" t="s">
        <v>13</v>
      </c>
    </row>
    <row r="11" customFormat="false" ht="15" hidden="false" customHeight="false" outlineLevel="0" collapsed="false">
      <c r="A11" s="3" t="s">
        <v>14</v>
      </c>
      <c r="B11" s="4" t="s">
        <v>15</v>
      </c>
    </row>
    <row r="12" customFormat="false" ht="28.35" hidden="false" customHeight="false" outlineLevel="0" collapsed="false">
      <c r="A12" s="3" t="s">
        <v>16</v>
      </c>
      <c r="B12" s="4" t="s">
        <v>17</v>
      </c>
    </row>
    <row r="13" customFormat="false" ht="15" hidden="false" customHeight="false" outlineLevel="0" collapsed="false">
      <c r="A13" s="3" t="s">
        <v>18</v>
      </c>
      <c r="B13" s="4" t="s">
        <v>19</v>
      </c>
    </row>
    <row r="14" customFormat="false" ht="28.35" hidden="false" customHeight="false" outlineLevel="0" collapsed="false">
      <c r="A14" s="3" t="s">
        <v>20</v>
      </c>
      <c r="B14" s="4" t="s">
        <v>21</v>
      </c>
    </row>
    <row r="15" customFormat="false" ht="41.75" hidden="false" customHeight="false" outlineLevel="0" collapsed="false">
      <c r="A15" s="3" t="s">
        <v>22</v>
      </c>
      <c r="B15" s="4" t="s">
        <v>23</v>
      </c>
    </row>
    <row r="16" customFormat="false" ht="68.65" hidden="false" customHeight="false" outlineLevel="0" collapsed="false">
      <c r="A16" s="3" t="s">
        <v>24</v>
      </c>
      <c r="B16" s="5" t="s">
        <v>25</v>
      </c>
    </row>
    <row r="17" customFormat="false" ht="15" hidden="false" customHeight="false" outlineLevel="0" collapsed="false">
      <c r="A17" s="3" t="s">
        <v>26</v>
      </c>
      <c r="B17" s="4" t="s">
        <v>27</v>
      </c>
    </row>
  </sheetData>
  <mergeCells count="1">
    <mergeCell ref="A1:F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3"/>
    <col collapsed="false" customWidth="true" hidden="false" outlineLevel="0" max="3" min="3" style="0" width="18"/>
    <col collapsed="false" customWidth="true" hidden="false" outlineLevel="0" max="4" min="4" style="0" width="25"/>
    <col collapsed="false" customWidth="true" hidden="false" outlineLevel="0" max="10" min="5" style="0" width="18"/>
  </cols>
  <sheetData>
    <row r="1" customFormat="false" ht="30" hidden="false" customHeight="true" outlineLevel="0" collapsed="false">
      <c r="A1" s="1" t="s">
        <v>28</v>
      </c>
      <c r="B1" s="1"/>
      <c r="C1" s="1"/>
      <c r="D1" s="1"/>
      <c r="E1" s="1"/>
      <c r="F1" s="1"/>
      <c r="G1" s="1"/>
      <c r="H1" s="1"/>
      <c r="I1" s="1"/>
      <c r="J1" s="1"/>
    </row>
    <row r="3" customFormat="false" ht="41.75" hidden="false" customHeight="false" outlineLevel="0" collapsed="false">
      <c r="A3" s="6" t="s">
        <v>29</v>
      </c>
      <c r="B3" s="7" t="s">
        <v>30</v>
      </c>
      <c r="C3" s="7" t="s">
        <v>31</v>
      </c>
      <c r="D3" s="7" t="s">
        <v>32</v>
      </c>
      <c r="E3" s="7" t="s">
        <v>33</v>
      </c>
      <c r="F3" s="7" t="s">
        <v>34</v>
      </c>
      <c r="G3" s="7" t="s">
        <v>35</v>
      </c>
      <c r="H3" s="7" t="s">
        <v>36</v>
      </c>
      <c r="I3" s="7" t="s">
        <v>37</v>
      </c>
      <c r="J3" s="8" t="s">
        <v>38</v>
      </c>
    </row>
    <row r="4" customFormat="false" ht="28.35" hidden="false" customHeight="false" outlineLevel="0" collapsed="false">
      <c r="A4" s="9" t="s">
        <v>39</v>
      </c>
      <c r="B4" s="10" t="n">
        <v>180</v>
      </c>
      <c r="C4" s="10" t="n">
        <v>8</v>
      </c>
      <c r="D4" s="10" t="n">
        <v>0</v>
      </c>
      <c r="E4" s="10" t="n">
        <f aca="false">B4-C4-D4</f>
        <v>172</v>
      </c>
      <c r="F4" s="10" t="n">
        <v>15</v>
      </c>
      <c r="G4" s="10" t="n">
        <f aca="false">E4-F4</f>
        <v>157</v>
      </c>
      <c r="H4" s="10" t="s">
        <v>40</v>
      </c>
      <c r="I4" s="10" t="s">
        <v>40</v>
      </c>
      <c r="J4" s="11" t="s">
        <v>41</v>
      </c>
    </row>
    <row r="5" customFormat="false" ht="28.35" hidden="false" customHeight="false" outlineLevel="0" collapsed="false">
      <c r="A5" s="9" t="s">
        <v>42</v>
      </c>
      <c r="B5" s="10" t="n">
        <v>103</v>
      </c>
      <c r="C5" s="10" t="n">
        <v>16</v>
      </c>
      <c r="D5" s="10" t="n">
        <v>28</v>
      </c>
      <c r="E5" s="10" t="n">
        <f aca="false">B5-C5-D5</f>
        <v>59</v>
      </c>
      <c r="F5" s="10" t="n">
        <v>0</v>
      </c>
      <c r="G5" s="10" t="n">
        <f aca="false">E5-F5</f>
        <v>59</v>
      </c>
      <c r="H5" s="10" t="s">
        <v>43</v>
      </c>
      <c r="I5" s="10" t="s">
        <v>44</v>
      </c>
      <c r="J5" s="11" t="s">
        <v>45</v>
      </c>
    </row>
    <row r="6" customFormat="false" ht="15" hidden="false" customHeight="false" outlineLevel="0" collapsed="false">
      <c r="A6" s="9" t="s">
        <v>46</v>
      </c>
      <c r="B6" s="10" t="n">
        <v>76</v>
      </c>
      <c r="C6" s="10" t="n">
        <v>17</v>
      </c>
      <c r="D6" s="10" t="n">
        <v>20</v>
      </c>
      <c r="E6" s="10" t="n">
        <f aca="false">B6-C6-D6</f>
        <v>39</v>
      </c>
      <c r="F6" s="10" t="n">
        <v>2</v>
      </c>
      <c r="G6" s="10" t="n">
        <f aca="false">E6-F6</f>
        <v>37</v>
      </c>
      <c r="H6" s="10" t="n">
        <v>33</v>
      </c>
      <c r="I6" s="10" t="n">
        <v>6</v>
      </c>
      <c r="J6" s="11" t="n">
        <v>4</v>
      </c>
    </row>
    <row r="7" customFormat="false" ht="15" hidden="false" customHeight="false" outlineLevel="0" collapsed="false">
      <c r="A7" s="12" t="s">
        <v>47</v>
      </c>
      <c r="B7" s="13" t="n">
        <f aca="false">SUM(B4:B6)</f>
        <v>359</v>
      </c>
      <c r="C7" s="13" t="n">
        <f aca="false">SUM(C4:C6)</f>
        <v>41</v>
      </c>
      <c r="D7" s="13" t="n">
        <f aca="false">SUM(D4:D6)</f>
        <v>48</v>
      </c>
      <c r="E7" s="13" t="n">
        <f aca="false">SUM(E4:E6)</f>
        <v>270</v>
      </c>
      <c r="F7" s="13" t="n">
        <f aca="false">SUM(F4:F6)</f>
        <v>17</v>
      </c>
      <c r="G7" s="13" t="n">
        <f aca="false">SUM(G4:G6)</f>
        <v>253</v>
      </c>
      <c r="H7" s="13"/>
      <c r="I7" s="13"/>
      <c r="J7" s="14"/>
    </row>
    <row r="8" customFormat="false" ht="15" hidden="false" customHeight="false" outlineLevel="0" collapsed="false">
      <c r="A8" s="4"/>
      <c r="B8" s="4"/>
      <c r="C8" s="4"/>
      <c r="D8" s="4"/>
      <c r="E8" s="4"/>
      <c r="F8" s="4"/>
      <c r="G8" s="4"/>
      <c r="H8" s="4"/>
      <c r="I8" s="4"/>
      <c r="J8" s="4"/>
    </row>
    <row r="9" customFormat="false" ht="15" hidden="false" customHeight="false" outlineLevel="0" collapsed="false">
      <c r="A9" s="2" t="s">
        <v>48</v>
      </c>
      <c r="B9" s="2" t="s">
        <v>49</v>
      </c>
      <c r="C9" s="4"/>
      <c r="D9" s="4"/>
      <c r="E9" s="4"/>
      <c r="F9" s="4"/>
      <c r="G9" s="4"/>
      <c r="H9" s="4"/>
      <c r="I9" s="4"/>
      <c r="J9" s="4"/>
    </row>
    <row r="10" customFormat="false" ht="15" hidden="false" customHeight="false" outlineLevel="0" collapsed="false">
      <c r="A10" s="4" t="s">
        <v>50</v>
      </c>
      <c r="B10" s="4" t="n">
        <f aca="false">F7</f>
        <v>17</v>
      </c>
      <c r="C10" s="4"/>
      <c r="D10" s="4"/>
      <c r="E10" s="4"/>
      <c r="F10" s="4"/>
      <c r="G10" s="4"/>
      <c r="H10" s="4"/>
      <c r="I10" s="4"/>
      <c r="J10" s="4"/>
    </row>
    <row r="11" customFormat="false" ht="15" hidden="false" customHeight="false" outlineLevel="0" collapsed="false">
      <c r="A11" s="4" t="s">
        <v>51</v>
      </c>
      <c r="B11" s="4" t="n">
        <v>5</v>
      </c>
      <c r="C11" s="4"/>
      <c r="D11" s="4"/>
      <c r="E11" s="4"/>
      <c r="F11" s="4"/>
      <c r="G11" s="4"/>
      <c r="H11" s="4"/>
      <c r="I11" s="4"/>
      <c r="J11" s="4"/>
    </row>
    <row r="12" customFormat="false" ht="15" hidden="false" customHeight="false" outlineLevel="0" collapsed="false">
      <c r="A12" s="4" t="s">
        <v>7</v>
      </c>
      <c r="B12" s="4" t="n">
        <f aca="false">B10+B11</f>
        <v>22</v>
      </c>
      <c r="C12" s="4"/>
      <c r="D12" s="4"/>
      <c r="E12" s="4"/>
      <c r="F12" s="4"/>
      <c r="G12" s="4"/>
      <c r="H12" s="4"/>
      <c r="I12" s="4"/>
      <c r="J12" s="4"/>
    </row>
    <row r="13" customFormat="false" ht="15" hidden="false" customHeight="false" outlineLevel="0" collapsed="false">
      <c r="A13" s="4" t="s">
        <v>52</v>
      </c>
      <c r="B13" s="4" t="str">
        <f aca="false">IF(B12=22,"PASS","CHECK")</f>
        <v>PASS</v>
      </c>
      <c r="C13" s="4"/>
      <c r="D13" s="4"/>
      <c r="E13" s="4"/>
      <c r="F13" s="4"/>
      <c r="G13" s="4"/>
      <c r="H13" s="4"/>
      <c r="I13" s="4"/>
      <c r="J13" s="4"/>
    </row>
    <row r="14" customFormat="false" ht="15" hidden="false" customHeight="false" outlineLevel="0" collapsed="false">
      <c r="A14" s="4"/>
      <c r="B14" s="4"/>
      <c r="C14" s="4"/>
      <c r="D14" s="4"/>
      <c r="E14" s="4"/>
      <c r="F14" s="4"/>
      <c r="G14" s="4"/>
      <c r="H14" s="4"/>
      <c r="I14" s="4"/>
      <c r="J14" s="4"/>
    </row>
    <row r="15" customFormat="false" ht="15" hidden="false" customHeight="false" outlineLevel="0" collapsed="false">
      <c r="A15" s="2" t="s">
        <v>53</v>
      </c>
      <c r="B15" s="2" t="s">
        <v>54</v>
      </c>
      <c r="C15" s="4"/>
      <c r="D15" s="4"/>
      <c r="E15" s="4"/>
      <c r="F15" s="4"/>
      <c r="G15" s="4"/>
      <c r="H15" s="4"/>
      <c r="I15" s="4"/>
      <c r="J15" s="4"/>
    </row>
    <row r="16" customFormat="false" ht="55.2" hidden="false" customHeight="false" outlineLevel="0" collapsed="false">
      <c r="A16" s="4" t="s">
        <v>55</v>
      </c>
      <c r="B16" s="4" t="s">
        <v>56</v>
      </c>
      <c r="C16" s="4"/>
      <c r="D16" s="4"/>
      <c r="E16" s="4"/>
      <c r="F16" s="4"/>
      <c r="G16" s="4"/>
      <c r="H16" s="4"/>
      <c r="I16" s="4"/>
      <c r="J16" s="4"/>
    </row>
    <row r="17" customFormat="false" ht="68.65" hidden="false" customHeight="false" outlineLevel="0" collapsed="false">
      <c r="A17" s="4" t="s">
        <v>57</v>
      </c>
      <c r="B17" s="4" t="s">
        <v>58</v>
      </c>
      <c r="C17" s="4"/>
      <c r="D17" s="4"/>
      <c r="E17" s="4"/>
      <c r="F17" s="4"/>
      <c r="G17" s="4"/>
      <c r="H17" s="4"/>
      <c r="I17" s="4"/>
      <c r="J17" s="4"/>
    </row>
    <row r="18" customFormat="false" ht="95.5" hidden="false" customHeight="false" outlineLevel="0" collapsed="false">
      <c r="A18" s="4" t="s">
        <v>59</v>
      </c>
      <c r="B18" s="4" t="s">
        <v>60</v>
      </c>
      <c r="C18" s="4"/>
      <c r="D18" s="4"/>
      <c r="E18" s="4"/>
      <c r="F18" s="4"/>
      <c r="G18" s="4"/>
      <c r="H18" s="4"/>
      <c r="I18" s="4"/>
      <c r="J18" s="4"/>
    </row>
  </sheetData>
  <mergeCells count="1">
    <mergeCell ref="A1:J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24"/>
    <col collapsed="false" customWidth="true" hidden="false" outlineLevel="0" max="3" min="3" style="0" width="15"/>
    <col collapsed="false" customWidth="true" hidden="false" outlineLevel="0" max="4" min="4" style="0" width="19"/>
    <col collapsed="false" customWidth="true" hidden="false" outlineLevel="0" max="5" min="5" style="0" width="15"/>
    <col collapsed="false" customWidth="true" hidden="false" outlineLevel="0" max="6" min="6" style="0" width="21"/>
    <col collapsed="false" customWidth="true" hidden="false" outlineLevel="0" max="7" min="7" style="0" width="19"/>
    <col collapsed="false" customWidth="true" hidden="false" outlineLevel="0" max="8" min="8" style="0" width="65"/>
  </cols>
  <sheetData>
    <row r="1" customFormat="false" ht="30" hidden="false" customHeight="true" outlineLevel="0" collapsed="false">
      <c r="A1" s="1" t="s">
        <v>61</v>
      </c>
      <c r="B1" s="1"/>
      <c r="C1" s="1"/>
      <c r="D1" s="1"/>
      <c r="E1" s="1"/>
      <c r="F1" s="1"/>
      <c r="G1" s="1"/>
      <c r="H1" s="1"/>
    </row>
    <row r="3" customFormat="false" ht="28.35" hidden="false" customHeight="false" outlineLevel="0" collapsed="false">
      <c r="A3" s="15" t="s">
        <v>29</v>
      </c>
      <c r="B3" s="15" t="s">
        <v>62</v>
      </c>
      <c r="C3" s="15" t="s">
        <v>63</v>
      </c>
      <c r="D3" s="15" t="s">
        <v>64</v>
      </c>
      <c r="E3" s="15" t="s">
        <v>30</v>
      </c>
      <c r="F3" s="15" t="s">
        <v>65</v>
      </c>
      <c r="G3" s="15" t="s">
        <v>66</v>
      </c>
      <c r="H3" s="15" t="s">
        <v>67</v>
      </c>
    </row>
    <row r="4" customFormat="false" ht="15" hidden="false" customHeight="false" outlineLevel="0" collapsed="false">
      <c r="A4" s="5" t="s">
        <v>68</v>
      </c>
      <c r="B4" s="5" t="s">
        <v>69</v>
      </c>
      <c r="C4" s="16" t="n">
        <v>46197</v>
      </c>
      <c r="D4" s="5" t="s">
        <v>70</v>
      </c>
      <c r="E4" s="5" t="n">
        <v>56</v>
      </c>
      <c r="F4" s="5"/>
      <c r="G4" s="5"/>
      <c r="H4" s="5" t="s">
        <v>71</v>
      </c>
    </row>
    <row r="5" customFormat="false" ht="15" hidden="false" customHeight="false" outlineLevel="0" collapsed="false">
      <c r="A5" s="5" t="s">
        <v>68</v>
      </c>
      <c r="B5" s="5" t="s">
        <v>72</v>
      </c>
      <c r="C5" s="16" t="n">
        <v>46197</v>
      </c>
      <c r="D5" s="5" t="s">
        <v>70</v>
      </c>
      <c r="E5" s="5" t="n">
        <v>70</v>
      </c>
      <c r="F5" s="5"/>
      <c r="G5" s="5"/>
      <c r="H5" s="5" t="s">
        <v>71</v>
      </c>
    </row>
    <row r="6" customFormat="false" ht="15" hidden="false" customHeight="false" outlineLevel="0" collapsed="false">
      <c r="A6" s="5" t="s">
        <v>68</v>
      </c>
      <c r="B6" s="5" t="s">
        <v>73</v>
      </c>
      <c r="C6" s="16" t="n">
        <v>46197</v>
      </c>
      <c r="D6" s="5" t="s">
        <v>70</v>
      </c>
      <c r="E6" s="5" t="n">
        <v>54</v>
      </c>
      <c r="F6" s="5"/>
      <c r="G6" s="5"/>
      <c r="H6" s="5" t="s">
        <v>71</v>
      </c>
    </row>
    <row r="7" customFormat="false" ht="15" hidden="false" customHeight="false" outlineLevel="0" collapsed="false">
      <c r="A7" s="5" t="s">
        <v>74</v>
      </c>
      <c r="B7" s="5" t="s">
        <v>75</v>
      </c>
      <c r="C7" s="16" t="n">
        <v>46197</v>
      </c>
      <c r="D7" s="5"/>
      <c r="E7" s="5" t="n">
        <v>180</v>
      </c>
      <c r="F7" s="5" t="n">
        <v>172</v>
      </c>
      <c r="G7" s="5" t="n">
        <v>0</v>
      </c>
      <c r="H7" s="5" t="s">
        <v>76</v>
      </c>
    </row>
    <row r="8" customFormat="false" ht="15" hidden="false" customHeight="false" outlineLevel="0" collapsed="false">
      <c r="A8" s="5" t="s">
        <v>42</v>
      </c>
      <c r="B8" s="5" t="s">
        <v>69</v>
      </c>
      <c r="C8" s="16" t="n">
        <v>46265</v>
      </c>
      <c r="D8" s="5" t="s">
        <v>77</v>
      </c>
      <c r="E8" s="5" t="n">
        <v>60</v>
      </c>
      <c r="F8" s="5"/>
      <c r="G8" s="5"/>
      <c r="H8" s="5" t="s">
        <v>78</v>
      </c>
    </row>
    <row r="9" customFormat="false" ht="15" hidden="false" customHeight="false" outlineLevel="0" collapsed="false">
      <c r="A9" s="5" t="s">
        <v>42</v>
      </c>
      <c r="B9" s="5" t="s">
        <v>79</v>
      </c>
      <c r="C9" s="16" t="n">
        <v>46265</v>
      </c>
      <c r="D9" s="5" t="s">
        <v>77</v>
      </c>
      <c r="E9" s="5" t="n">
        <v>5</v>
      </c>
      <c r="F9" s="5"/>
      <c r="G9" s="5"/>
      <c r="H9" s="5" t="s">
        <v>80</v>
      </c>
    </row>
    <row r="10" customFormat="false" ht="15" hidden="false" customHeight="false" outlineLevel="0" collapsed="false">
      <c r="A10" s="5" t="s">
        <v>42</v>
      </c>
      <c r="B10" s="5" t="s">
        <v>81</v>
      </c>
      <c r="C10" s="16" t="n">
        <v>46265</v>
      </c>
      <c r="D10" s="5" t="s">
        <v>77</v>
      </c>
      <c r="E10" s="5" t="n">
        <v>15</v>
      </c>
      <c r="F10" s="5"/>
      <c r="G10" s="5"/>
      <c r="H10" s="5" t="s">
        <v>82</v>
      </c>
    </row>
    <row r="11" customFormat="false" ht="15" hidden="false" customHeight="false" outlineLevel="0" collapsed="false">
      <c r="A11" s="5" t="s">
        <v>42</v>
      </c>
      <c r="B11" s="5" t="s">
        <v>73</v>
      </c>
      <c r="C11" s="16" t="n">
        <v>46265</v>
      </c>
      <c r="D11" s="5" t="s">
        <v>77</v>
      </c>
      <c r="E11" s="5" t="n">
        <v>23</v>
      </c>
      <c r="F11" s="5"/>
      <c r="G11" s="5"/>
      <c r="H11" s="5" t="s">
        <v>83</v>
      </c>
    </row>
    <row r="12" customFormat="false" ht="28.35" hidden="false" customHeight="false" outlineLevel="0" collapsed="false">
      <c r="A12" s="5" t="s">
        <v>84</v>
      </c>
      <c r="B12" s="5" t="s">
        <v>75</v>
      </c>
      <c r="C12" s="16" t="n">
        <v>46265</v>
      </c>
      <c r="D12" s="5"/>
      <c r="E12" s="5" t="n">
        <v>103</v>
      </c>
      <c r="F12" s="5" t="n">
        <v>87</v>
      </c>
      <c r="G12" s="5" t="n">
        <v>28</v>
      </c>
      <c r="H12" s="5" t="s">
        <v>85</v>
      </c>
    </row>
    <row r="13" customFormat="false" ht="15" hidden="false" customHeight="false" outlineLevel="0" collapsed="false">
      <c r="A13" s="5" t="s">
        <v>46</v>
      </c>
      <c r="B13" s="5" t="s">
        <v>69</v>
      </c>
      <c r="C13" s="16" t="n">
        <v>46267</v>
      </c>
      <c r="D13" s="5" t="s">
        <v>86</v>
      </c>
      <c r="E13" s="5" t="n">
        <v>26</v>
      </c>
      <c r="F13" s="5"/>
      <c r="G13" s="5"/>
      <c r="H13" s="5" t="s">
        <v>87</v>
      </c>
    </row>
    <row r="14" customFormat="false" ht="15" hidden="false" customHeight="false" outlineLevel="0" collapsed="false">
      <c r="A14" s="5" t="s">
        <v>46</v>
      </c>
      <c r="B14" s="5" t="s">
        <v>79</v>
      </c>
      <c r="C14" s="16" t="n">
        <v>46267</v>
      </c>
      <c r="D14" s="5" t="s">
        <v>86</v>
      </c>
      <c r="E14" s="5" t="n">
        <v>19</v>
      </c>
      <c r="F14" s="5"/>
      <c r="G14" s="5"/>
      <c r="H14" s="5" t="s">
        <v>80</v>
      </c>
    </row>
    <row r="15" customFormat="false" ht="15" hidden="false" customHeight="false" outlineLevel="0" collapsed="false">
      <c r="A15" s="5" t="s">
        <v>46</v>
      </c>
      <c r="B15" s="5" t="s">
        <v>81</v>
      </c>
      <c r="C15" s="16" t="n">
        <v>46267</v>
      </c>
      <c r="D15" s="5" t="s">
        <v>86</v>
      </c>
      <c r="E15" s="5" t="n">
        <v>16</v>
      </c>
      <c r="F15" s="5"/>
      <c r="G15" s="5"/>
      <c r="H15" s="5" t="s">
        <v>82</v>
      </c>
    </row>
    <row r="16" customFormat="false" ht="15" hidden="false" customHeight="false" outlineLevel="0" collapsed="false">
      <c r="A16" s="5" t="s">
        <v>46</v>
      </c>
      <c r="B16" s="5" t="s">
        <v>73</v>
      </c>
      <c r="C16" s="16" t="n">
        <v>46267</v>
      </c>
      <c r="D16" s="5" t="s">
        <v>86</v>
      </c>
      <c r="E16" s="5" t="n">
        <v>15</v>
      </c>
      <c r="F16" s="5"/>
      <c r="G16" s="5"/>
      <c r="H16" s="5" t="s">
        <v>87</v>
      </c>
    </row>
    <row r="17" customFormat="false" ht="15" hidden="false" customHeight="false" outlineLevel="0" collapsed="false">
      <c r="A17" s="0" t="s">
        <v>88</v>
      </c>
      <c r="B17" s="0" t="s">
        <v>75</v>
      </c>
      <c r="C17" s="17" t="n">
        <v>46267</v>
      </c>
      <c r="E17" s="0" t="n">
        <v>76</v>
      </c>
      <c r="F17" s="0" t="n">
        <v>59</v>
      </c>
      <c r="G17" s="0" t="n">
        <v>20</v>
      </c>
      <c r="H17" s="0" t="s">
        <v>89</v>
      </c>
    </row>
  </sheetData>
  <mergeCells count="1">
    <mergeCell ref="A1:H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20"/>
    <col collapsed="false" customWidth="true" hidden="false" outlineLevel="0" max="3" min="3" style="0" width="31"/>
    <col collapsed="false" customWidth="true" hidden="false" outlineLevel="0" max="4" min="4" style="0" width="120"/>
    <col collapsed="false" customWidth="true" hidden="false" outlineLevel="0" max="5" min="5" style="0" width="38"/>
    <col collapsed="false" customWidth="true" hidden="false" outlineLevel="0" max="6" min="6" style="0" width="60"/>
  </cols>
  <sheetData>
    <row r="1" customFormat="false" ht="30" hidden="false" customHeight="true" outlineLevel="0" collapsed="false">
      <c r="A1" s="1" t="s">
        <v>90</v>
      </c>
      <c r="B1" s="1"/>
      <c r="C1" s="1"/>
      <c r="D1" s="1"/>
      <c r="E1" s="1"/>
      <c r="F1" s="1"/>
    </row>
    <row r="3" customFormat="false" ht="15" hidden="false" customHeight="false" outlineLevel="0" collapsed="false">
      <c r="A3" s="15" t="s">
        <v>29</v>
      </c>
      <c r="B3" s="15" t="s">
        <v>91</v>
      </c>
      <c r="C3" s="15" t="s">
        <v>92</v>
      </c>
      <c r="D3" s="15" t="s">
        <v>93</v>
      </c>
      <c r="E3" s="15" t="s">
        <v>94</v>
      </c>
      <c r="F3" s="15" t="s">
        <v>95</v>
      </c>
    </row>
    <row r="4" customFormat="false" ht="41.75" hidden="false" customHeight="false" outlineLevel="0" collapsed="false">
      <c r="A4" s="5" t="s">
        <v>96</v>
      </c>
      <c r="B4" s="5" t="s">
        <v>69</v>
      </c>
      <c r="C4" s="5" t="s">
        <v>97</v>
      </c>
      <c r="D4" s="5" t="s">
        <v>98</v>
      </c>
      <c r="E4" s="5" t="s">
        <v>99</v>
      </c>
      <c r="F4" s="5" t="s">
        <v>100</v>
      </c>
    </row>
    <row r="5" customFormat="false" ht="41.75" hidden="false" customHeight="false" outlineLevel="0" collapsed="false">
      <c r="A5" s="5" t="s">
        <v>96</v>
      </c>
      <c r="B5" s="5" t="s">
        <v>73</v>
      </c>
      <c r="C5" s="5" t="s">
        <v>101</v>
      </c>
      <c r="D5" s="5" t="s">
        <v>102</v>
      </c>
      <c r="E5" s="5" t="s">
        <v>99</v>
      </c>
      <c r="F5" s="5" t="s">
        <v>103</v>
      </c>
    </row>
    <row r="6" customFormat="false" ht="41.75" hidden="false" customHeight="false" outlineLevel="0" collapsed="false">
      <c r="A6" s="5" t="s">
        <v>104</v>
      </c>
      <c r="B6" s="5" t="s">
        <v>72</v>
      </c>
      <c r="C6" s="5" t="s">
        <v>105</v>
      </c>
      <c r="D6" s="5" t="s">
        <v>106</v>
      </c>
      <c r="E6" s="5" t="s">
        <v>107</v>
      </c>
      <c r="F6" s="5" t="s">
        <v>108</v>
      </c>
    </row>
    <row r="7" customFormat="false" ht="28.35" hidden="false" customHeight="false" outlineLevel="0" collapsed="false">
      <c r="A7" s="5" t="s">
        <v>109</v>
      </c>
      <c r="B7" s="5" t="s">
        <v>72</v>
      </c>
      <c r="C7" s="5" t="s">
        <v>105</v>
      </c>
      <c r="D7" s="5" t="s">
        <v>110</v>
      </c>
      <c r="E7" s="5" t="s">
        <v>107</v>
      </c>
      <c r="F7" s="5" t="s">
        <v>108</v>
      </c>
    </row>
    <row r="8" customFormat="false" ht="55.2" hidden="false" customHeight="false" outlineLevel="0" collapsed="false">
      <c r="A8" s="5" t="s">
        <v>42</v>
      </c>
      <c r="B8" s="5" t="s">
        <v>69</v>
      </c>
      <c r="C8" s="5" t="s">
        <v>97</v>
      </c>
      <c r="D8" s="5" t="s">
        <v>111</v>
      </c>
      <c r="E8" s="5" t="s">
        <v>112</v>
      </c>
      <c r="F8" s="5" t="s">
        <v>113</v>
      </c>
    </row>
    <row r="9" customFormat="false" ht="82.05" hidden="false" customHeight="false" outlineLevel="0" collapsed="false">
      <c r="A9" s="5" t="s">
        <v>42</v>
      </c>
      <c r="B9" s="5" t="s">
        <v>73</v>
      </c>
      <c r="C9" s="5" t="s">
        <v>101</v>
      </c>
      <c r="D9" s="5" t="s">
        <v>114</v>
      </c>
      <c r="E9" s="5" t="s">
        <v>112</v>
      </c>
      <c r="F9" s="5" t="s">
        <v>113</v>
      </c>
    </row>
    <row r="10" customFormat="false" ht="41.75" hidden="false" customHeight="false" outlineLevel="0" collapsed="false">
      <c r="A10" s="5" t="s">
        <v>115</v>
      </c>
      <c r="B10" s="5" t="s">
        <v>72</v>
      </c>
      <c r="C10" s="5" t="s">
        <v>105</v>
      </c>
      <c r="D10" s="5" t="s">
        <v>116</v>
      </c>
      <c r="E10" s="5" t="s">
        <v>112</v>
      </c>
      <c r="F10" s="5" t="s">
        <v>117</v>
      </c>
    </row>
    <row r="11" customFormat="false" ht="15" hidden="false" customHeight="false" outlineLevel="0" collapsed="false">
      <c r="A11" s="0" t="s">
        <v>118</v>
      </c>
      <c r="B11" s="0" t="s">
        <v>72</v>
      </c>
      <c r="C11" s="0" t="s">
        <v>105</v>
      </c>
      <c r="D11" s="0" t="s">
        <v>119</v>
      </c>
      <c r="E11" s="0" t="s">
        <v>112</v>
      </c>
      <c r="F11" s="0" t="s">
        <v>120</v>
      </c>
    </row>
  </sheetData>
  <mergeCells count="1">
    <mergeCell ref="A1:F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54"/>
    <col collapsed="false" customWidth="true" hidden="false" outlineLevel="0" max="3" min="3" style="0" width="58"/>
    <col collapsed="false" customWidth="true" hidden="false" outlineLevel="0" max="4" min="4" style="0" width="44"/>
    <col collapsed="false" customWidth="true" hidden="false" outlineLevel="0" max="5" min="5" style="0" width="30"/>
    <col collapsed="false" customWidth="true" hidden="false" outlineLevel="0" max="6" min="6" style="0" width="58"/>
  </cols>
  <sheetData>
    <row r="1" customFormat="false" ht="30" hidden="false" customHeight="true" outlineLevel="0" collapsed="false">
      <c r="A1" s="1" t="s">
        <v>121</v>
      </c>
      <c r="B1" s="1"/>
      <c r="C1" s="1"/>
      <c r="D1" s="1"/>
      <c r="E1" s="1"/>
      <c r="F1" s="1"/>
    </row>
    <row r="3" customFormat="false" ht="15" hidden="false" customHeight="false" outlineLevel="0" collapsed="false">
      <c r="A3" s="15" t="s">
        <v>122</v>
      </c>
      <c r="B3" s="15" t="s">
        <v>123</v>
      </c>
      <c r="C3" s="15" t="s">
        <v>124</v>
      </c>
      <c r="D3" s="15" t="s">
        <v>125</v>
      </c>
      <c r="E3" s="15" t="s">
        <v>126</v>
      </c>
      <c r="F3" s="15" t="s">
        <v>127</v>
      </c>
    </row>
    <row r="4" customFormat="false" ht="28.35" hidden="false" customHeight="false" outlineLevel="0" collapsed="false">
      <c r="A4" s="5" t="s">
        <v>128</v>
      </c>
      <c r="B4" s="5" t="s">
        <v>129</v>
      </c>
      <c r="C4" s="5" t="s">
        <v>130</v>
      </c>
      <c r="D4" s="5" t="s">
        <v>131</v>
      </c>
      <c r="E4" s="5" t="s">
        <v>132</v>
      </c>
      <c r="F4" s="5" t="s">
        <v>133</v>
      </c>
    </row>
    <row r="5" customFormat="false" ht="15" hidden="false" customHeight="false" outlineLevel="0" collapsed="false">
      <c r="A5" s="5" t="s">
        <v>134</v>
      </c>
      <c r="B5" s="5" t="s">
        <v>135</v>
      </c>
      <c r="C5" s="5" t="s">
        <v>136</v>
      </c>
      <c r="D5" s="5" t="s">
        <v>137</v>
      </c>
      <c r="E5" s="5" t="s">
        <v>138</v>
      </c>
      <c r="F5" s="5" t="s">
        <v>139</v>
      </c>
    </row>
    <row r="6" customFormat="false" ht="28.35" hidden="false" customHeight="false" outlineLevel="0" collapsed="false">
      <c r="A6" s="5" t="s">
        <v>140</v>
      </c>
      <c r="B6" s="5" t="s">
        <v>141</v>
      </c>
      <c r="C6" s="5" t="s">
        <v>142</v>
      </c>
      <c r="D6" s="5" t="s">
        <v>143</v>
      </c>
      <c r="E6" s="5" t="s">
        <v>144</v>
      </c>
      <c r="F6" s="5" t="s">
        <v>145</v>
      </c>
    </row>
    <row r="7" customFormat="false" ht="28.35" hidden="false" customHeight="false" outlineLevel="0" collapsed="false">
      <c r="A7" s="5" t="s">
        <v>146</v>
      </c>
      <c r="B7" s="5" t="s">
        <v>147</v>
      </c>
      <c r="C7" s="5" t="s">
        <v>148</v>
      </c>
      <c r="D7" s="5" t="s">
        <v>149</v>
      </c>
      <c r="E7" s="5" t="s">
        <v>150</v>
      </c>
      <c r="F7" s="5" t="s">
        <v>151</v>
      </c>
    </row>
    <row r="8" customFormat="false" ht="28.35" hidden="false" customHeight="false" outlineLevel="0" collapsed="false">
      <c r="A8" s="5" t="s">
        <v>152</v>
      </c>
      <c r="B8" s="5" t="s">
        <v>153</v>
      </c>
      <c r="C8" s="5" t="s">
        <v>154</v>
      </c>
      <c r="D8" s="5" t="s">
        <v>155</v>
      </c>
      <c r="E8" s="5" t="s">
        <v>156</v>
      </c>
      <c r="F8" s="5" t="s">
        <v>157</v>
      </c>
    </row>
    <row r="9" customFormat="false" ht="28.35" hidden="false" customHeight="false" outlineLevel="0" collapsed="false">
      <c r="A9" s="5" t="s">
        <v>158</v>
      </c>
      <c r="B9" s="5" t="s">
        <v>159</v>
      </c>
      <c r="C9" s="5" t="s">
        <v>160</v>
      </c>
      <c r="D9" s="5" t="s">
        <v>161</v>
      </c>
      <c r="E9" s="5" t="s">
        <v>162</v>
      </c>
      <c r="F9" s="5" t="s">
        <v>163</v>
      </c>
    </row>
    <row r="10" customFormat="false" ht="149.25" hidden="false" customHeight="false" outlineLevel="0" collapsed="false">
      <c r="A10" s="5" t="s">
        <v>164</v>
      </c>
      <c r="B10" s="5" t="s">
        <v>165</v>
      </c>
      <c r="C10" s="5" t="s">
        <v>166</v>
      </c>
      <c r="D10" s="5" t="s">
        <v>167</v>
      </c>
      <c r="E10" s="5" t="s">
        <v>168</v>
      </c>
      <c r="F10" s="5" t="s">
        <v>169</v>
      </c>
    </row>
    <row r="11" customFormat="false" ht="15" hidden="false" customHeight="false" outlineLevel="0" collapsed="false">
      <c r="A11" s="0" t="s">
        <v>170</v>
      </c>
      <c r="B11" s="0" t="s">
        <v>171</v>
      </c>
      <c r="C11" s="0" t="s">
        <v>172</v>
      </c>
      <c r="D11" s="0" t="s">
        <v>173</v>
      </c>
      <c r="E11" s="0" t="s">
        <v>174</v>
      </c>
      <c r="F11" s="0" t="s">
        <v>175</v>
      </c>
    </row>
  </sheetData>
  <mergeCells count="1">
    <mergeCell ref="A1:F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68"/>
    <col collapsed="false" customWidth="true" hidden="false" outlineLevel="0" max="3" min="3" style="0" width="48"/>
    <col collapsed="false" customWidth="true" hidden="false" outlineLevel="0" max="4" min="4" style="0" width="9"/>
    <col collapsed="false" customWidth="true" hidden="false" outlineLevel="0" max="5" min="5" style="0" width="30"/>
    <col collapsed="false" customWidth="true" hidden="false" outlineLevel="0" max="6" min="6" style="0" width="26"/>
    <col collapsed="false" customWidth="true" hidden="false" outlineLevel="0" max="7" min="7" style="0" width="42"/>
    <col collapsed="false" customWidth="true" hidden="false" outlineLevel="0" max="8" min="8" style="0" width="24"/>
    <col collapsed="false" customWidth="true" hidden="false" outlineLevel="0" max="9" min="9" style="0" width="17"/>
    <col collapsed="false" customWidth="true" hidden="false" outlineLevel="0" max="10" min="10" style="0" width="88"/>
  </cols>
  <sheetData>
    <row r="1" customFormat="false" ht="30" hidden="false" customHeight="true" outlineLevel="0" collapsed="false">
      <c r="A1" s="1" t="s">
        <v>176</v>
      </c>
      <c r="B1" s="1"/>
      <c r="C1" s="1"/>
      <c r="D1" s="1"/>
      <c r="E1" s="1"/>
      <c r="F1" s="1"/>
      <c r="G1" s="1"/>
      <c r="H1" s="1"/>
      <c r="I1" s="1"/>
      <c r="J1" s="1"/>
    </row>
    <row r="3" customFormat="false" ht="28.35" hidden="false" customHeight="false" outlineLevel="0" collapsed="false">
      <c r="A3" s="15" t="s">
        <v>177</v>
      </c>
      <c r="B3" s="15" t="s">
        <v>178</v>
      </c>
      <c r="C3" s="15" t="s">
        <v>179</v>
      </c>
      <c r="D3" s="15" t="s">
        <v>180</v>
      </c>
      <c r="E3" s="15" t="s">
        <v>181</v>
      </c>
      <c r="F3" s="15" t="s">
        <v>182</v>
      </c>
      <c r="G3" s="15" t="s">
        <v>183</v>
      </c>
      <c r="H3" s="15" t="s">
        <v>184</v>
      </c>
      <c r="I3" s="15" t="s">
        <v>185</v>
      </c>
      <c r="J3" s="15" t="s">
        <v>186</v>
      </c>
    </row>
    <row r="4" customFormat="false" ht="28.35" hidden="false" customHeight="false" outlineLevel="0" collapsed="false">
      <c r="A4" s="5" t="s">
        <v>187</v>
      </c>
      <c r="B4" s="5" t="s">
        <v>188</v>
      </c>
      <c r="C4" s="5" t="s">
        <v>189</v>
      </c>
      <c r="D4" s="5" t="n">
        <v>2019</v>
      </c>
      <c r="E4" s="5" t="s">
        <v>190</v>
      </c>
      <c r="F4" s="5" t="s">
        <v>191</v>
      </c>
      <c r="G4" s="5" t="s">
        <v>192</v>
      </c>
      <c r="H4" s="5" t="s">
        <v>193</v>
      </c>
      <c r="I4" s="5" t="s">
        <v>194</v>
      </c>
      <c r="J4" s="5" t="s">
        <v>195</v>
      </c>
    </row>
    <row r="5" customFormat="false" ht="28.35" hidden="false" customHeight="false" outlineLevel="0" collapsed="false">
      <c r="A5" s="5" t="s">
        <v>196</v>
      </c>
      <c r="B5" s="5" t="s">
        <v>197</v>
      </c>
      <c r="C5" s="5" t="s">
        <v>198</v>
      </c>
      <c r="D5" s="5" t="n">
        <v>2021</v>
      </c>
      <c r="E5" s="5" t="s">
        <v>199</v>
      </c>
      <c r="F5" s="5" t="s">
        <v>200</v>
      </c>
      <c r="G5" s="5" t="s">
        <v>192</v>
      </c>
      <c r="H5" s="5" t="s">
        <v>193</v>
      </c>
      <c r="I5" s="5" t="s">
        <v>194</v>
      </c>
      <c r="J5" s="5" t="s">
        <v>195</v>
      </c>
    </row>
    <row r="6" customFormat="false" ht="28.35" hidden="false" customHeight="false" outlineLevel="0" collapsed="false">
      <c r="A6" s="5" t="s">
        <v>201</v>
      </c>
      <c r="B6" s="5" t="s">
        <v>202</v>
      </c>
      <c r="C6" s="5" t="s">
        <v>203</v>
      </c>
      <c r="D6" s="5" t="n">
        <v>2020</v>
      </c>
      <c r="E6" s="5" t="s">
        <v>204</v>
      </c>
      <c r="F6" s="5" t="s">
        <v>205</v>
      </c>
      <c r="G6" s="5" t="s">
        <v>192</v>
      </c>
      <c r="H6" s="5" t="s">
        <v>193</v>
      </c>
      <c r="I6" s="5" t="s">
        <v>194</v>
      </c>
      <c r="J6" s="5" t="s">
        <v>195</v>
      </c>
    </row>
    <row r="7" customFormat="false" ht="28.35" hidden="false" customHeight="false" outlineLevel="0" collapsed="false">
      <c r="A7" s="5" t="s">
        <v>206</v>
      </c>
      <c r="B7" s="5" t="s">
        <v>207</v>
      </c>
      <c r="C7" s="5" t="s">
        <v>208</v>
      </c>
      <c r="D7" s="5" t="n">
        <v>2021</v>
      </c>
      <c r="E7" s="5" t="s">
        <v>209</v>
      </c>
      <c r="F7" s="5" t="s">
        <v>210</v>
      </c>
      <c r="G7" s="5" t="s">
        <v>192</v>
      </c>
      <c r="H7" s="5" t="s">
        <v>193</v>
      </c>
      <c r="I7" s="5" t="s">
        <v>194</v>
      </c>
      <c r="J7" s="5" t="s">
        <v>195</v>
      </c>
    </row>
    <row r="8" customFormat="false" ht="28.35" hidden="false" customHeight="false" outlineLevel="0" collapsed="false">
      <c r="A8" s="5" t="s">
        <v>211</v>
      </c>
      <c r="B8" s="5" t="s">
        <v>212</v>
      </c>
      <c r="C8" s="5" t="s">
        <v>213</v>
      </c>
      <c r="D8" s="5" t="n">
        <v>2022</v>
      </c>
      <c r="E8" s="5" t="s">
        <v>214</v>
      </c>
      <c r="F8" s="5" t="s">
        <v>215</v>
      </c>
      <c r="G8" s="5" t="s">
        <v>216</v>
      </c>
      <c r="H8" s="5" t="s">
        <v>217</v>
      </c>
      <c r="I8" s="5" t="s">
        <v>218</v>
      </c>
      <c r="J8" s="5" t="s">
        <v>219</v>
      </c>
    </row>
    <row r="9" customFormat="false" ht="28.35" hidden="false" customHeight="false" outlineLevel="0" collapsed="false">
      <c r="A9" s="5" t="s">
        <v>220</v>
      </c>
      <c r="B9" s="5" t="s">
        <v>221</v>
      </c>
      <c r="C9" s="5" t="s">
        <v>222</v>
      </c>
      <c r="D9" s="5" t="n">
        <v>2022</v>
      </c>
      <c r="E9" s="5" t="s">
        <v>223</v>
      </c>
      <c r="F9" s="5" t="s">
        <v>224</v>
      </c>
      <c r="G9" s="5" t="s">
        <v>192</v>
      </c>
      <c r="H9" s="5" t="s">
        <v>193</v>
      </c>
      <c r="I9" s="5" t="s">
        <v>194</v>
      </c>
      <c r="J9" s="5" t="s">
        <v>195</v>
      </c>
    </row>
    <row r="10" customFormat="false" ht="28.35" hidden="false" customHeight="false" outlineLevel="0" collapsed="false">
      <c r="A10" s="5" t="s">
        <v>225</v>
      </c>
      <c r="B10" s="5" t="s">
        <v>226</v>
      </c>
      <c r="C10" s="5" t="s">
        <v>227</v>
      </c>
      <c r="D10" s="5" t="n">
        <v>2022</v>
      </c>
      <c r="E10" s="5" t="s">
        <v>228</v>
      </c>
      <c r="F10" s="5" t="s">
        <v>229</v>
      </c>
      <c r="G10" s="5" t="s">
        <v>192</v>
      </c>
      <c r="H10" s="5" t="s">
        <v>193</v>
      </c>
      <c r="I10" s="5" t="s">
        <v>194</v>
      </c>
      <c r="J10" s="5" t="s">
        <v>195</v>
      </c>
    </row>
    <row r="11" customFormat="false" ht="28.35" hidden="false" customHeight="false" outlineLevel="0" collapsed="false">
      <c r="A11" s="5" t="s">
        <v>230</v>
      </c>
      <c r="B11" s="5" t="s">
        <v>231</v>
      </c>
      <c r="C11" s="5" t="s">
        <v>232</v>
      </c>
      <c r="D11" s="5" t="n">
        <v>2022</v>
      </c>
      <c r="E11" s="5" t="s">
        <v>233</v>
      </c>
      <c r="F11" s="5" t="s">
        <v>234</v>
      </c>
      <c r="G11" s="5" t="s">
        <v>192</v>
      </c>
      <c r="H11" s="5" t="s">
        <v>193</v>
      </c>
      <c r="I11" s="5" t="s">
        <v>194</v>
      </c>
      <c r="J11" s="5" t="s">
        <v>195</v>
      </c>
    </row>
    <row r="12" customFormat="false" ht="28.35" hidden="false" customHeight="false" outlineLevel="0" collapsed="false">
      <c r="A12" s="5" t="s">
        <v>235</v>
      </c>
      <c r="B12" s="5" t="s">
        <v>236</v>
      </c>
      <c r="C12" s="5" t="s">
        <v>237</v>
      </c>
      <c r="D12" s="5" t="n">
        <v>2022</v>
      </c>
      <c r="E12" s="5" t="s">
        <v>214</v>
      </c>
      <c r="F12" s="5" t="s">
        <v>238</v>
      </c>
      <c r="G12" s="5" t="s">
        <v>239</v>
      </c>
      <c r="H12" s="5" t="s">
        <v>193</v>
      </c>
      <c r="I12" s="5" t="s">
        <v>218</v>
      </c>
      <c r="J12" s="5" t="s">
        <v>240</v>
      </c>
    </row>
    <row r="13" customFormat="false" ht="28.35" hidden="false" customHeight="false" outlineLevel="0" collapsed="false">
      <c r="A13" s="5" t="s">
        <v>241</v>
      </c>
      <c r="B13" s="5" t="s">
        <v>242</v>
      </c>
      <c r="C13" s="5" t="s">
        <v>243</v>
      </c>
      <c r="D13" s="5" t="n">
        <v>2023</v>
      </c>
      <c r="E13" s="5" t="s">
        <v>244</v>
      </c>
      <c r="F13" s="5" t="s">
        <v>245</v>
      </c>
      <c r="G13" s="5" t="s">
        <v>192</v>
      </c>
      <c r="H13" s="5" t="s">
        <v>193</v>
      </c>
      <c r="I13" s="5" t="s">
        <v>194</v>
      </c>
      <c r="J13" s="5" t="s">
        <v>195</v>
      </c>
    </row>
    <row r="14" customFormat="false" ht="28.35" hidden="false" customHeight="false" outlineLevel="0" collapsed="false">
      <c r="A14" s="5" t="s">
        <v>246</v>
      </c>
      <c r="B14" s="5" t="s">
        <v>247</v>
      </c>
      <c r="C14" s="5" t="s">
        <v>248</v>
      </c>
      <c r="D14" s="5" t="n">
        <v>2023</v>
      </c>
      <c r="E14" s="5" t="s">
        <v>249</v>
      </c>
      <c r="F14" s="5" t="s">
        <v>250</v>
      </c>
      <c r="G14" s="5" t="s">
        <v>192</v>
      </c>
      <c r="H14" s="5" t="s">
        <v>193</v>
      </c>
      <c r="I14" s="5" t="s">
        <v>194</v>
      </c>
      <c r="J14" s="5" t="s">
        <v>195</v>
      </c>
    </row>
    <row r="15" customFormat="false" ht="28.35" hidden="false" customHeight="false" outlineLevel="0" collapsed="false">
      <c r="A15" s="5" t="s">
        <v>251</v>
      </c>
      <c r="B15" s="5" t="s">
        <v>252</v>
      </c>
      <c r="C15" s="5" t="s">
        <v>253</v>
      </c>
      <c r="D15" s="5" t="n">
        <v>2024</v>
      </c>
      <c r="E15" s="5" t="s">
        <v>254</v>
      </c>
      <c r="F15" s="5" t="s">
        <v>255</v>
      </c>
      <c r="G15" s="5" t="s">
        <v>192</v>
      </c>
      <c r="H15" s="5" t="s">
        <v>193</v>
      </c>
      <c r="I15" s="5" t="s">
        <v>194</v>
      </c>
      <c r="J15" s="5" t="s">
        <v>195</v>
      </c>
    </row>
    <row r="16" customFormat="false" ht="28.35" hidden="false" customHeight="false" outlineLevel="0" collapsed="false">
      <c r="A16" s="5" t="s">
        <v>256</v>
      </c>
      <c r="B16" s="5" t="s">
        <v>257</v>
      </c>
      <c r="C16" s="5" t="s">
        <v>258</v>
      </c>
      <c r="D16" s="5" t="n">
        <v>2024</v>
      </c>
      <c r="E16" s="5" t="s">
        <v>214</v>
      </c>
      <c r="F16" s="5" t="s">
        <v>259</v>
      </c>
      <c r="G16" s="5" t="s">
        <v>239</v>
      </c>
      <c r="H16" s="5" t="s">
        <v>193</v>
      </c>
      <c r="I16" s="5" t="s">
        <v>218</v>
      </c>
      <c r="J16" s="5" t="s">
        <v>260</v>
      </c>
    </row>
    <row r="17" customFormat="false" ht="28.35" hidden="false" customHeight="false" outlineLevel="0" collapsed="false">
      <c r="A17" s="5" t="s">
        <v>261</v>
      </c>
      <c r="B17" s="5" t="s">
        <v>262</v>
      </c>
      <c r="C17" s="5" t="s">
        <v>263</v>
      </c>
      <c r="D17" s="5" t="n">
        <v>2024</v>
      </c>
      <c r="E17" s="5" t="s">
        <v>223</v>
      </c>
      <c r="F17" s="5" t="s">
        <v>264</v>
      </c>
      <c r="G17" s="5" t="s">
        <v>192</v>
      </c>
      <c r="H17" s="5" t="s">
        <v>193</v>
      </c>
      <c r="I17" s="5" t="s">
        <v>194</v>
      </c>
      <c r="J17" s="5" t="s">
        <v>195</v>
      </c>
    </row>
    <row r="18" customFormat="false" ht="41.75" hidden="false" customHeight="false" outlineLevel="0" collapsed="false">
      <c r="A18" s="5" t="s">
        <v>265</v>
      </c>
      <c r="B18" s="5" t="s">
        <v>266</v>
      </c>
      <c r="C18" s="5" t="s">
        <v>267</v>
      </c>
      <c r="D18" s="5" t="n">
        <v>2025</v>
      </c>
      <c r="E18" s="5" t="s">
        <v>268</v>
      </c>
      <c r="F18" s="5" t="s">
        <v>269</v>
      </c>
      <c r="G18" s="5" t="s">
        <v>270</v>
      </c>
      <c r="H18" s="5" t="s">
        <v>271</v>
      </c>
      <c r="I18" s="5" t="s">
        <v>194</v>
      </c>
      <c r="J18" s="5" t="s">
        <v>272</v>
      </c>
    </row>
    <row r="19" customFormat="false" ht="28.35" hidden="false" customHeight="false" outlineLevel="0" collapsed="false">
      <c r="A19" s="5" t="s">
        <v>273</v>
      </c>
      <c r="B19" s="5" t="s">
        <v>274</v>
      </c>
      <c r="C19" s="5" t="s">
        <v>275</v>
      </c>
      <c r="D19" s="5" t="n">
        <v>2025</v>
      </c>
      <c r="E19" s="5" t="s">
        <v>276</v>
      </c>
      <c r="F19" s="5" t="s">
        <v>277</v>
      </c>
      <c r="G19" s="5" t="s">
        <v>192</v>
      </c>
      <c r="H19" s="5" t="s">
        <v>193</v>
      </c>
      <c r="I19" s="5" t="s">
        <v>194</v>
      </c>
      <c r="J19" s="5" t="s">
        <v>195</v>
      </c>
    </row>
    <row r="20" customFormat="false" ht="28.35" hidden="false" customHeight="false" outlineLevel="0" collapsed="false">
      <c r="A20" s="5" t="s">
        <v>278</v>
      </c>
      <c r="B20" s="5" t="s">
        <v>279</v>
      </c>
      <c r="C20" s="5" t="s">
        <v>280</v>
      </c>
      <c r="D20" s="5" t="n">
        <v>2025</v>
      </c>
      <c r="E20" s="5" t="s">
        <v>223</v>
      </c>
      <c r="F20" s="5" t="s">
        <v>281</v>
      </c>
      <c r="G20" s="5" t="s">
        <v>192</v>
      </c>
      <c r="H20" s="5" t="s">
        <v>193</v>
      </c>
      <c r="I20" s="5" t="s">
        <v>194</v>
      </c>
      <c r="J20" s="5" t="s">
        <v>195</v>
      </c>
    </row>
    <row r="21" customFormat="false" ht="28.35" hidden="false" customHeight="false" outlineLevel="0" collapsed="false">
      <c r="A21" s="5" t="s">
        <v>282</v>
      </c>
      <c r="B21" s="5" t="s">
        <v>283</v>
      </c>
      <c r="C21" s="5" t="s">
        <v>284</v>
      </c>
      <c r="D21" s="5" t="n">
        <v>2025</v>
      </c>
      <c r="E21" s="5" t="s">
        <v>214</v>
      </c>
      <c r="F21" s="5" t="s">
        <v>285</v>
      </c>
      <c r="G21" s="5" t="s">
        <v>216</v>
      </c>
      <c r="H21" s="5" t="s">
        <v>217</v>
      </c>
      <c r="I21" s="5" t="s">
        <v>218</v>
      </c>
      <c r="J21" s="5" t="s">
        <v>286</v>
      </c>
    </row>
    <row r="22" customFormat="false" ht="28.35" hidden="false" customHeight="false" outlineLevel="0" collapsed="false">
      <c r="A22" s="5" t="s">
        <v>287</v>
      </c>
      <c r="B22" s="5" t="s">
        <v>288</v>
      </c>
      <c r="C22" s="5" t="s">
        <v>289</v>
      </c>
      <c r="D22" s="5" t="n">
        <v>2025</v>
      </c>
      <c r="E22" s="5" t="s">
        <v>276</v>
      </c>
      <c r="F22" s="5" t="s">
        <v>290</v>
      </c>
      <c r="G22" s="5" t="s">
        <v>270</v>
      </c>
      <c r="H22" s="5" t="s">
        <v>271</v>
      </c>
      <c r="I22" s="5" t="s">
        <v>194</v>
      </c>
      <c r="J22" s="5" t="s">
        <v>291</v>
      </c>
    </row>
    <row r="23" customFormat="false" ht="41.75" hidden="false" customHeight="false" outlineLevel="0" collapsed="false">
      <c r="A23" s="5" t="s">
        <v>292</v>
      </c>
      <c r="B23" s="5" t="s">
        <v>293</v>
      </c>
      <c r="C23" s="5" t="s">
        <v>294</v>
      </c>
      <c r="D23" s="5" t="n">
        <v>2026</v>
      </c>
      <c r="E23" s="5" t="s">
        <v>295</v>
      </c>
      <c r="F23" s="5" t="s">
        <v>296</v>
      </c>
      <c r="G23" s="5" t="s">
        <v>46</v>
      </c>
      <c r="H23" s="5" t="s">
        <v>271</v>
      </c>
      <c r="I23" s="5" t="s">
        <v>194</v>
      </c>
      <c r="J23" s="5" t="s">
        <v>297</v>
      </c>
    </row>
    <row r="24" customFormat="false" ht="41.75" hidden="false" customHeight="false" outlineLevel="0" collapsed="false">
      <c r="A24" s="5" t="s">
        <v>298</v>
      </c>
      <c r="B24" s="5" t="s">
        <v>299</v>
      </c>
      <c r="C24" s="5" t="s">
        <v>300</v>
      </c>
      <c r="D24" s="5" t="n">
        <v>2026</v>
      </c>
      <c r="E24" s="5" t="s">
        <v>204</v>
      </c>
      <c r="F24" s="5" t="s">
        <v>301</v>
      </c>
      <c r="G24" s="5" t="s">
        <v>46</v>
      </c>
      <c r="H24" s="5" t="s">
        <v>271</v>
      </c>
      <c r="I24" s="5" t="s">
        <v>194</v>
      </c>
      <c r="J24" s="5" t="s">
        <v>302</v>
      </c>
    </row>
    <row r="25" customFormat="false" ht="15" hidden="false" customHeight="false" outlineLevel="0" collapsed="false">
      <c r="A25" s="0" t="s">
        <v>303</v>
      </c>
      <c r="B25" s="0" t="s">
        <v>304</v>
      </c>
      <c r="C25" s="0" t="s">
        <v>305</v>
      </c>
      <c r="D25" s="0" t="n">
        <v>2026</v>
      </c>
      <c r="E25" s="0" t="s">
        <v>204</v>
      </c>
      <c r="F25" s="0" t="s">
        <v>306</v>
      </c>
      <c r="G25" s="0" t="s">
        <v>307</v>
      </c>
      <c r="H25" s="18" t="s">
        <v>271</v>
      </c>
      <c r="I25" s="0" t="s">
        <v>218</v>
      </c>
      <c r="J25" s="0" t="s">
        <v>308</v>
      </c>
    </row>
  </sheetData>
  <mergeCells count="1">
    <mergeCell ref="A1:J1"/>
  </mergeCells>
  <conditionalFormatting sqref="H4:H25">
    <cfRule type="containsText" priority="2" operator="containsText" aboveAverage="0" equalAverage="0" bottom="0" percent="0" rank="0" text="Added" dxfId="4">
      <formula>NOT(ISERROR(SEARCH("Added",H4)))</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0"/>
    <col collapsed="false" customWidth="true" hidden="false" outlineLevel="0" max="3" min="3" style="0" width="7"/>
    <col collapsed="false" customWidth="true" hidden="false" outlineLevel="0" max="4" min="4" style="0" width="30"/>
    <col collapsed="false" customWidth="true" hidden="false" outlineLevel="0" max="5" min="5" style="0" width="34"/>
    <col collapsed="false" customWidth="true" hidden="false" outlineLevel="0" max="6" min="6" style="0" width="30"/>
    <col collapsed="false" customWidth="true" hidden="false" outlineLevel="0" max="7" min="7" style="0" width="13"/>
    <col collapsed="false" customWidth="true" hidden="false" outlineLevel="0" max="8" min="8" style="0" width="14"/>
    <col collapsed="false" customWidth="true" hidden="false" outlineLevel="0" max="9" min="9" style="0" width="15"/>
    <col collapsed="false" customWidth="true" hidden="false" outlineLevel="0" max="10" min="10" style="0" width="86"/>
  </cols>
  <sheetData>
    <row r="1" customFormat="false" ht="15" hidden="false" customHeight="false" outlineLevel="0" collapsed="false">
      <c r="A1" s="19" t="s">
        <v>309</v>
      </c>
    </row>
    <row r="2" customFormat="false" ht="42" hidden="false" customHeight="true" outlineLevel="0" collapsed="false">
      <c r="A2" s="20" t="s">
        <v>310</v>
      </c>
      <c r="B2" s="20"/>
      <c r="C2" s="20"/>
      <c r="D2" s="20"/>
      <c r="E2" s="20"/>
      <c r="F2" s="20"/>
      <c r="G2" s="20"/>
      <c r="H2" s="20"/>
      <c r="I2" s="20"/>
      <c r="J2" s="20"/>
    </row>
    <row r="4" customFormat="false" ht="28.35" hidden="false" customHeight="false" outlineLevel="0" collapsed="false">
      <c r="A4" s="15" t="s">
        <v>177</v>
      </c>
      <c r="B4" s="15" t="s">
        <v>311</v>
      </c>
      <c r="C4" s="15" t="s">
        <v>180</v>
      </c>
      <c r="D4" s="15" t="s">
        <v>182</v>
      </c>
      <c r="E4" s="15" t="s">
        <v>312</v>
      </c>
      <c r="F4" s="15" t="s">
        <v>184</v>
      </c>
      <c r="G4" s="15" t="s">
        <v>313</v>
      </c>
      <c r="H4" s="15" t="s">
        <v>314</v>
      </c>
      <c r="I4" s="15" t="s">
        <v>315</v>
      </c>
      <c r="J4" s="15" t="s">
        <v>316</v>
      </c>
    </row>
    <row r="5" customFormat="false" ht="15" hidden="false" customHeight="false" outlineLevel="0" collapsed="false">
      <c r="A5" s="21" t="s">
        <v>187</v>
      </c>
      <c r="B5" s="5" t="s">
        <v>317</v>
      </c>
      <c r="C5" s="21" t="s">
        <v>318</v>
      </c>
      <c r="D5" s="21" t="s">
        <v>191</v>
      </c>
      <c r="E5" s="5" t="s">
        <v>192</v>
      </c>
      <c r="F5" s="5" t="s">
        <v>193</v>
      </c>
      <c r="G5" s="21" t="s">
        <v>194</v>
      </c>
      <c r="H5" s="21" t="s">
        <v>218</v>
      </c>
      <c r="I5" s="21" t="s">
        <v>218</v>
      </c>
      <c r="J5" s="5" t="s">
        <v>319</v>
      </c>
    </row>
    <row r="6" customFormat="false" ht="15" hidden="false" customHeight="false" outlineLevel="0" collapsed="false">
      <c r="A6" s="21" t="s">
        <v>196</v>
      </c>
      <c r="B6" s="5" t="s">
        <v>320</v>
      </c>
      <c r="C6" s="21" t="s">
        <v>321</v>
      </c>
      <c r="D6" s="21" t="s">
        <v>200</v>
      </c>
      <c r="E6" s="5" t="s">
        <v>192</v>
      </c>
      <c r="F6" s="5" t="s">
        <v>193</v>
      </c>
      <c r="G6" s="21" t="s">
        <v>194</v>
      </c>
      <c r="H6" s="21" t="s">
        <v>218</v>
      </c>
      <c r="I6" s="21" t="s">
        <v>218</v>
      </c>
      <c r="J6" s="5" t="s">
        <v>322</v>
      </c>
    </row>
    <row r="7" customFormat="false" ht="15" hidden="false" customHeight="false" outlineLevel="0" collapsed="false">
      <c r="A7" s="21" t="s">
        <v>201</v>
      </c>
      <c r="B7" s="5" t="s">
        <v>323</v>
      </c>
      <c r="C7" s="21" t="s">
        <v>324</v>
      </c>
      <c r="D7" s="21" t="s">
        <v>205</v>
      </c>
      <c r="E7" s="5" t="s">
        <v>192</v>
      </c>
      <c r="F7" s="5" t="s">
        <v>193</v>
      </c>
      <c r="G7" s="21" t="s">
        <v>194</v>
      </c>
      <c r="H7" s="21" t="s">
        <v>218</v>
      </c>
      <c r="I7" s="21" t="s">
        <v>218</v>
      </c>
      <c r="J7" s="5" t="s">
        <v>319</v>
      </c>
    </row>
    <row r="8" customFormat="false" ht="28.35" hidden="false" customHeight="false" outlineLevel="0" collapsed="false">
      <c r="A8" s="21" t="s">
        <v>206</v>
      </c>
      <c r="B8" s="5" t="s">
        <v>325</v>
      </c>
      <c r="C8" s="21" t="s">
        <v>321</v>
      </c>
      <c r="D8" s="21" t="s">
        <v>210</v>
      </c>
      <c r="E8" s="5" t="s">
        <v>192</v>
      </c>
      <c r="F8" s="5" t="s">
        <v>193</v>
      </c>
      <c r="G8" s="21" t="s">
        <v>194</v>
      </c>
      <c r="H8" s="21" t="s">
        <v>194</v>
      </c>
      <c r="I8" s="21" t="s">
        <v>218</v>
      </c>
      <c r="J8" s="5" t="s">
        <v>326</v>
      </c>
    </row>
    <row r="9" customFormat="false" ht="55.2" hidden="false" customHeight="false" outlineLevel="0" collapsed="false">
      <c r="A9" s="21" t="s">
        <v>211</v>
      </c>
      <c r="B9" s="5" t="s">
        <v>327</v>
      </c>
      <c r="C9" s="21" t="s">
        <v>328</v>
      </c>
      <c r="D9" s="21" t="s">
        <v>215</v>
      </c>
      <c r="E9" s="5" t="s">
        <v>216</v>
      </c>
      <c r="F9" s="5" t="s">
        <v>217</v>
      </c>
      <c r="G9" s="21" t="s">
        <v>218</v>
      </c>
      <c r="H9" s="21" t="s">
        <v>194</v>
      </c>
      <c r="I9" s="21" t="s">
        <v>218</v>
      </c>
      <c r="J9" s="5" t="s">
        <v>329</v>
      </c>
    </row>
    <row r="10" customFormat="false" ht="15" hidden="false" customHeight="false" outlineLevel="0" collapsed="false">
      <c r="A10" s="21" t="s">
        <v>220</v>
      </c>
      <c r="B10" s="5" t="s">
        <v>330</v>
      </c>
      <c r="C10" s="21" t="s">
        <v>328</v>
      </c>
      <c r="D10" s="21" t="s">
        <v>224</v>
      </c>
      <c r="E10" s="5" t="s">
        <v>192</v>
      </c>
      <c r="F10" s="5" t="s">
        <v>193</v>
      </c>
      <c r="G10" s="21" t="s">
        <v>194</v>
      </c>
      <c r="H10" s="21" t="s">
        <v>218</v>
      </c>
      <c r="I10" s="21" t="s">
        <v>218</v>
      </c>
      <c r="J10" s="5" t="s">
        <v>319</v>
      </c>
    </row>
    <row r="11" customFormat="false" ht="15" hidden="false" customHeight="false" outlineLevel="0" collapsed="false">
      <c r="A11" s="21" t="s">
        <v>225</v>
      </c>
      <c r="B11" s="5" t="s">
        <v>331</v>
      </c>
      <c r="C11" s="21" t="s">
        <v>328</v>
      </c>
      <c r="D11" s="21" t="s">
        <v>229</v>
      </c>
      <c r="E11" s="5" t="s">
        <v>192</v>
      </c>
      <c r="F11" s="5" t="s">
        <v>193</v>
      </c>
      <c r="G11" s="21" t="s">
        <v>194</v>
      </c>
      <c r="H11" s="21" t="s">
        <v>218</v>
      </c>
      <c r="I11" s="21" t="s">
        <v>218</v>
      </c>
      <c r="J11" s="5" t="s">
        <v>319</v>
      </c>
    </row>
    <row r="12" customFormat="false" ht="15" hidden="false" customHeight="false" outlineLevel="0" collapsed="false">
      <c r="A12" s="21" t="s">
        <v>230</v>
      </c>
      <c r="B12" s="5" t="s">
        <v>332</v>
      </c>
      <c r="C12" s="21" t="s">
        <v>328</v>
      </c>
      <c r="D12" s="21" t="s">
        <v>234</v>
      </c>
      <c r="E12" s="5" t="s">
        <v>192</v>
      </c>
      <c r="F12" s="5" t="s">
        <v>193</v>
      </c>
      <c r="G12" s="21" t="s">
        <v>194</v>
      </c>
      <c r="H12" s="21" t="s">
        <v>218</v>
      </c>
      <c r="I12" s="21" t="s">
        <v>218</v>
      </c>
      <c r="J12" s="5" t="s">
        <v>319</v>
      </c>
    </row>
    <row r="13" customFormat="false" ht="41.75" hidden="false" customHeight="false" outlineLevel="0" collapsed="false">
      <c r="A13" s="21" t="s">
        <v>235</v>
      </c>
      <c r="B13" s="5" t="s">
        <v>333</v>
      </c>
      <c r="C13" s="21" t="s">
        <v>328</v>
      </c>
      <c r="D13" s="21" t="s">
        <v>238</v>
      </c>
      <c r="E13" s="5" t="s">
        <v>239</v>
      </c>
      <c r="F13" s="5" t="s">
        <v>193</v>
      </c>
      <c r="G13" s="21" t="s">
        <v>218</v>
      </c>
      <c r="H13" s="21" t="s">
        <v>218</v>
      </c>
      <c r="I13" s="21" t="s">
        <v>218</v>
      </c>
      <c r="J13" s="5" t="s">
        <v>334</v>
      </c>
    </row>
    <row r="14" customFormat="false" ht="28.35" hidden="false" customHeight="false" outlineLevel="0" collapsed="false">
      <c r="A14" s="21" t="s">
        <v>241</v>
      </c>
      <c r="B14" s="5" t="s">
        <v>335</v>
      </c>
      <c r="C14" s="21" t="s">
        <v>336</v>
      </c>
      <c r="D14" s="21" t="s">
        <v>245</v>
      </c>
      <c r="E14" s="5" t="s">
        <v>192</v>
      </c>
      <c r="F14" s="5" t="s">
        <v>193</v>
      </c>
      <c r="G14" s="21" t="s">
        <v>194</v>
      </c>
      <c r="H14" s="21" t="s">
        <v>194</v>
      </c>
      <c r="I14" s="21" t="s">
        <v>218</v>
      </c>
      <c r="J14" s="5" t="s">
        <v>326</v>
      </c>
    </row>
    <row r="15" customFormat="false" ht="15" hidden="false" customHeight="false" outlineLevel="0" collapsed="false">
      <c r="A15" s="21" t="s">
        <v>246</v>
      </c>
      <c r="B15" s="5" t="s">
        <v>337</v>
      </c>
      <c r="C15" s="21" t="s">
        <v>336</v>
      </c>
      <c r="D15" s="21" t="s">
        <v>250</v>
      </c>
      <c r="E15" s="5" t="s">
        <v>192</v>
      </c>
      <c r="F15" s="5" t="s">
        <v>193</v>
      </c>
      <c r="G15" s="21" t="s">
        <v>194</v>
      </c>
      <c r="H15" s="21" t="s">
        <v>218</v>
      </c>
      <c r="I15" s="21" t="s">
        <v>218</v>
      </c>
      <c r="J15" s="5" t="s">
        <v>319</v>
      </c>
    </row>
    <row r="16" customFormat="false" ht="28.35" hidden="false" customHeight="false" outlineLevel="0" collapsed="false">
      <c r="A16" s="21" t="s">
        <v>251</v>
      </c>
      <c r="B16" s="5" t="s">
        <v>338</v>
      </c>
      <c r="C16" s="21" t="s">
        <v>339</v>
      </c>
      <c r="D16" s="21" t="s">
        <v>255</v>
      </c>
      <c r="E16" s="5" t="s">
        <v>192</v>
      </c>
      <c r="F16" s="5" t="s">
        <v>193</v>
      </c>
      <c r="G16" s="21" t="s">
        <v>194</v>
      </c>
      <c r="H16" s="21" t="s">
        <v>194</v>
      </c>
      <c r="I16" s="21" t="s">
        <v>218</v>
      </c>
      <c r="J16" s="5" t="s">
        <v>326</v>
      </c>
    </row>
    <row r="17" customFormat="false" ht="55.2" hidden="false" customHeight="false" outlineLevel="0" collapsed="false">
      <c r="A17" s="21" t="s">
        <v>256</v>
      </c>
      <c r="B17" s="5" t="s">
        <v>340</v>
      </c>
      <c r="C17" s="21" t="s">
        <v>339</v>
      </c>
      <c r="D17" s="21" t="s">
        <v>259</v>
      </c>
      <c r="E17" s="5" t="s">
        <v>239</v>
      </c>
      <c r="F17" s="5" t="s">
        <v>193</v>
      </c>
      <c r="G17" s="21" t="s">
        <v>218</v>
      </c>
      <c r="H17" s="21" t="s">
        <v>194</v>
      </c>
      <c r="I17" s="21" t="s">
        <v>218</v>
      </c>
      <c r="J17" s="5" t="s">
        <v>341</v>
      </c>
    </row>
    <row r="18" customFormat="false" ht="15" hidden="false" customHeight="false" outlineLevel="0" collapsed="false">
      <c r="A18" s="21" t="s">
        <v>261</v>
      </c>
      <c r="B18" s="5" t="s">
        <v>342</v>
      </c>
      <c r="C18" s="21" t="s">
        <v>339</v>
      </c>
      <c r="D18" s="21" t="s">
        <v>264</v>
      </c>
      <c r="E18" s="5" t="s">
        <v>192</v>
      </c>
      <c r="F18" s="5" t="s">
        <v>193</v>
      </c>
      <c r="G18" s="21" t="s">
        <v>194</v>
      </c>
      <c r="H18" s="21" t="s">
        <v>218</v>
      </c>
      <c r="I18" s="21" t="s">
        <v>218</v>
      </c>
      <c r="J18" s="5" t="s">
        <v>319</v>
      </c>
    </row>
    <row r="19" customFormat="false" ht="28.35" hidden="false" customHeight="false" outlineLevel="0" collapsed="false">
      <c r="A19" s="21" t="s">
        <v>265</v>
      </c>
      <c r="B19" s="5" t="s">
        <v>343</v>
      </c>
      <c r="C19" s="21" t="s">
        <v>344</v>
      </c>
      <c r="D19" s="21" t="s">
        <v>269</v>
      </c>
      <c r="E19" s="5" t="s">
        <v>270</v>
      </c>
      <c r="F19" s="5" t="s">
        <v>271</v>
      </c>
      <c r="G19" s="21" t="s">
        <v>194</v>
      </c>
      <c r="H19" s="21" t="s">
        <v>218</v>
      </c>
      <c r="I19" s="21" t="s">
        <v>218</v>
      </c>
      <c r="J19" s="5" t="s">
        <v>345</v>
      </c>
    </row>
    <row r="20" customFormat="false" ht="28.35" hidden="false" customHeight="false" outlineLevel="0" collapsed="false">
      <c r="A20" s="21" t="s">
        <v>273</v>
      </c>
      <c r="B20" s="5" t="s">
        <v>346</v>
      </c>
      <c r="C20" s="21" t="s">
        <v>344</v>
      </c>
      <c r="D20" s="21" t="s">
        <v>277</v>
      </c>
      <c r="E20" s="5" t="s">
        <v>192</v>
      </c>
      <c r="F20" s="5" t="s">
        <v>193</v>
      </c>
      <c r="G20" s="21" t="s">
        <v>194</v>
      </c>
      <c r="H20" s="21" t="s">
        <v>194</v>
      </c>
      <c r="I20" s="21" t="s">
        <v>194</v>
      </c>
      <c r="J20" s="5" t="s">
        <v>347</v>
      </c>
    </row>
    <row r="21" customFormat="false" ht="28.35" hidden="false" customHeight="false" outlineLevel="0" collapsed="false">
      <c r="A21" s="21" t="s">
        <v>278</v>
      </c>
      <c r="B21" s="5" t="s">
        <v>348</v>
      </c>
      <c r="C21" s="21" t="s">
        <v>344</v>
      </c>
      <c r="D21" s="21" t="s">
        <v>281</v>
      </c>
      <c r="E21" s="5" t="s">
        <v>192</v>
      </c>
      <c r="F21" s="5" t="s">
        <v>193</v>
      </c>
      <c r="G21" s="21" t="s">
        <v>194</v>
      </c>
      <c r="H21" s="21" t="s">
        <v>218</v>
      </c>
      <c r="I21" s="21" t="s">
        <v>194</v>
      </c>
      <c r="J21" s="5" t="s">
        <v>349</v>
      </c>
    </row>
    <row r="22" customFormat="false" ht="55.2" hidden="false" customHeight="false" outlineLevel="0" collapsed="false">
      <c r="A22" s="21" t="s">
        <v>282</v>
      </c>
      <c r="B22" s="5" t="s">
        <v>350</v>
      </c>
      <c r="C22" s="21" t="s">
        <v>344</v>
      </c>
      <c r="D22" s="21" t="s">
        <v>285</v>
      </c>
      <c r="E22" s="5" t="s">
        <v>216</v>
      </c>
      <c r="F22" s="5" t="s">
        <v>217</v>
      </c>
      <c r="G22" s="21" t="s">
        <v>218</v>
      </c>
      <c r="H22" s="21" t="s">
        <v>194</v>
      </c>
      <c r="I22" s="21" t="s">
        <v>218</v>
      </c>
      <c r="J22" s="5" t="s">
        <v>351</v>
      </c>
    </row>
    <row r="23" customFormat="false" ht="28.35" hidden="false" customHeight="false" outlineLevel="0" collapsed="false">
      <c r="A23" s="21" t="s">
        <v>287</v>
      </c>
      <c r="B23" s="5" t="s">
        <v>352</v>
      </c>
      <c r="C23" s="21" t="s">
        <v>344</v>
      </c>
      <c r="D23" s="21" t="s">
        <v>290</v>
      </c>
      <c r="E23" s="5" t="s">
        <v>270</v>
      </c>
      <c r="F23" s="5" t="s">
        <v>271</v>
      </c>
      <c r="G23" s="21" t="s">
        <v>194</v>
      </c>
      <c r="H23" s="21" t="s">
        <v>218</v>
      </c>
      <c r="I23" s="21" t="s">
        <v>194</v>
      </c>
      <c r="J23" s="5" t="s">
        <v>353</v>
      </c>
    </row>
    <row r="24" customFormat="false" ht="15" hidden="false" customHeight="false" outlineLevel="0" collapsed="false">
      <c r="A24" s="21" t="s">
        <v>292</v>
      </c>
      <c r="B24" s="5" t="s">
        <v>354</v>
      </c>
      <c r="C24" s="21" t="s">
        <v>355</v>
      </c>
      <c r="D24" s="21" t="s">
        <v>296</v>
      </c>
      <c r="E24" s="5" t="s">
        <v>46</v>
      </c>
      <c r="F24" s="5" t="s">
        <v>271</v>
      </c>
      <c r="G24" s="21" t="s">
        <v>218</v>
      </c>
      <c r="H24" s="21" t="s">
        <v>218</v>
      </c>
      <c r="I24" s="21" t="s">
        <v>194</v>
      </c>
      <c r="J24" s="5" t="s">
        <v>356</v>
      </c>
    </row>
    <row r="25" customFormat="false" ht="15" hidden="false" customHeight="false" outlineLevel="0" collapsed="false">
      <c r="A25" s="21" t="s">
        <v>298</v>
      </c>
      <c r="B25" s="5" t="s">
        <v>357</v>
      </c>
      <c r="C25" s="21" t="s">
        <v>355</v>
      </c>
      <c r="D25" s="21" t="s">
        <v>301</v>
      </c>
      <c r="E25" s="5" t="s">
        <v>46</v>
      </c>
      <c r="F25" s="5" t="s">
        <v>271</v>
      </c>
      <c r="G25" s="21" t="s">
        <v>218</v>
      </c>
      <c r="H25" s="21" t="s">
        <v>218</v>
      </c>
      <c r="I25" s="21" t="s">
        <v>194</v>
      </c>
      <c r="J25" s="5" t="s">
        <v>356</v>
      </c>
    </row>
    <row r="26" customFormat="false" ht="41.75" hidden="false" customHeight="false" outlineLevel="0" collapsed="false">
      <c r="A26" s="21" t="s">
        <v>303</v>
      </c>
      <c r="B26" s="5" t="s">
        <v>358</v>
      </c>
      <c r="C26" s="21" t="s">
        <v>355</v>
      </c>
      <c r="D26" s="21" t="s">
        <v>306</v>
      </c>
      <c r="E26" s="5" t="s">
        <v>307</v>
      </c>
      <c r="F26" s="5" t="s">
        <v>271</v>
      </c>
      <c r="G26" s="21" t="s">
        <v>218</v>
      </c>
      <c r="H26" s="21" t="s">
        <v>218</v>
      </c>
      <c r="I26" s="21" t="s">
        <v>218</v>
      </c>
      <c r="J26" s="5" t="s">
        <v>359</v>
      </c>
    </row>
    <row r="28" customFormat="false" ht="15" hidden="false" customHeight="false" outlineLevel="0" collapsed="false">
      <c r="A28" s="22" t="s">
        <v>360</v>
      </c>
    </row>
    <row r="29" customFormat="false" ht="31.5" hidden="false" customHeight="true" outlineLevel="0" collapsed="false">
      <c r="A29" s="20" t="s">
        <v>361</v>
      </c>
      <c r="B29" s="20"/>
      <c r="C29" s="20"/>
      <c r="D29" s="20"/>
      <c r="E29" s="20"/>
      <c r="F29" s="20"/>
      <c r="G29" s="20"/>
      <c r="H29" s="20"/>
      <c r="I29" s="20"/>
      <c r="J29" s="20"/>
    </row>
    <row r="31" customFormat="false" ht="15" hidden="false" customHeight="false" outlineLevel="0" collapsed="false">
      <c r="A31" s="22" t="s">
        <v>362</v>
      </c>
    </row>
    <row r="32" customFormat="false" ht="15" hidden="false" customHeight="false" outlineLevel="0" collapsed="false">
      <c r="A32" s="0" t="s">
        <v>363</v>
      </c>
      <c r="B32" s="0" t="n">
        <v>20</v>
      </c>
    </row>
    <row r="33" customFormat="false" ht="15" hidden="false" customHeight="false" outlineLevel="0" collapsed="false">
      <c r="A33" s="0" t="s">
        <v>364</v>
      </c>
      <c r="B33" s="0" t="n">
        <v>15</v>
      </c>
    </row>
    <row r="34" customFormat="false" ht="15" hidden="false" customHeight="false" outlineLevel="0" collapsed="false">
      <c r="A34" s="0" t="s">
        <v>365</v>
      </c>
      <c r="B34" s="0" t="n">
        <v>2</v>
      </c>
    </row>
    <row r="35" customFormat="false" ht="15" hidden="false" customHeight="false" outlineLevel="0" collapsed="false">
      <c r="A35" s="0" t="s">
        <v>366</v>
      </c>
      <c r="B35" s="0" t="n">
        <v>3</v>
      </c>
    </row>
    <row r="36" customFormat="false" ht="15" hidden="false" customHeight="false" outlineLevel="0" collapsed="false">
      <c r="A36" s="0" t="s">
        <v>367</v>
      </c>
      <c r="B36" s="0" t="n">
        <v>2</v>
      </c>
    </row>
    <row r="37" customFormat="false" ht="15" hidden="false" customHeight="false" outlineLevel="0" collapsed="false">
      <c r="A37" s="0" t="s">
        <v>368</v>
      </c>
      <c r="B37" s="0" t="n">
        <v>17</v>
      </c>
    </row>
    <row r="38" customFormat="false" ht="15" hidden="false" customHeight="false" outlineLevel="0" collapsed="false">
      <c r="A38" s="0" t="s">
        <v>369</v>
      </c>
      <c r="B38" s="0" t="n">
        <v>5</v>
      </c>
    </row>
    <row r="39" customFormat="false" ht="15" hidden="false" customHeight="false" outlineLevel="0" collapsed="false">
      <c r="A39" s="0" t="s">
        <v>370</v>
      </c>
      <c r="B39" s="0" t="n">
        <v>22</v>
      </c>
    </row>
  </sheetData>
  <mergeCells count="2">
    <mergeCell ref="A2:J2"/>
    <mergeCell ref="A29:J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7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4"/>
    <col collapsed="false" customWidth="true" hidden="false" outlineLevel="0" max="3" min="3" style="0" width="12"/>
    <col collapsed="false" customWidth="true" hidden="false" outlineLevel="0" max="4" min="4" style="0" width="60"/>
    <col collapsed="false" customWidth="true" hidden="false" outlineLevel="0" max="5" min="5" style="0" width="43"/>
    <col collapsed="false" customWidth="true" hidden="false" outlineLevel="0" max="6" min="6" style="0" width="9"/>
    <col collapsed="false" customWidth="true" hidden="false" outlineLevel="0" max="7" min="7" style="0" width="10"/>
    <col collapsed="false" customWidth="true" hidden="false" outlineLevel="0" max="8" min="8" style="0" width="30"/>
    <col collapsed="false" customWidth="true" hidden="false" outlineLevel="0" max="9" min="9" style="0" width="26"/>
    <col collapsed="false" customWidth="true" hidden="false" outlineLevel="0" max="10" min="10" style="0" width="18"/>
    <col collapsed="false" customWidth="true" hidden="false" outlineLevel="0" max="11" min="11" style="0" width="58"/>
    <col collapsed="false" customWidth="true" hidden="false" outlineLevel="0" max="12" min="12" style="0" width="24"/>
    <col collapsed="false" customWidth="true" hidden="false" outlineLevel="0" max="13" min="13" style="0" width="65"/>
    <col collapsed="false" customWidth="true" hidden="false" outlineLevel="0" max="14" min="14" style="0" width="48"/>
    <col collapsed="false" customWidth="true" hidden="false" outlineLevel="0" max="15" min="15" style="0" width="95"/>
  </cols>
  <sheetData>
    <row r="1" customFormat="false" ht="30" hidden="false" customHeight="true" outlineLevel="0" collapsed="false">
      <c r="A1" s="1" t="s">
        <v>371</v>
      </c>
      <c r="B1" s="1"/>
      <c r="C1" s="1"/>
      <c r="D1" s="1"/>
      <c r="E1" s="1"/>
      <c r="F1" s="1"/>
      <c r="G1" s="1"/>
      <c r="H1" s="1"/>
      <c r="I1" s="1"/>
      <c r="J1" s="1"/>
      <c r="K1" s="1"/>
      <c r="L1" s="1"/>
      <c r="M1" s="1"/>
      <c r="N1" s="1"/>
      <c r="O1" s="1"/>
    </row>
    <row r="3" customFormat="false" ht="28.35" hidden="false" customHeight="false" outlineLevel="0" collapsed="false">
      <c r="A3" s="15" t="s">
        <v>372</v>
      </c>
      <c r="B3" s="15" t="s">
        <v>373</v>
      </c>
      <c r="C3" s="15" t="s">
        <v>374</v>
      </c>
      <c r="D3" s="15" t="s">
        <v>178</v>
      </c>
      <c r="E3" s="15" t="s">
        <v>179</v>
      </c>
      <c r="F3" s="15" t="s">
        <v>180</v>
      </c>
      <c r="G3" s="15" t="s">
        <v>375</v>
      </c>
      <c r="H3" s="15" t="s">
        <v>181</v>
      </c>
      <c r="I3" s="15" t="s">
        <v>182</v>
      </c>
      <c r="J3" s="15" t="s">
        <v>376</v>
      </c>
      <c r="K3" s="15" t="s">
        <v>377</v>
      </c>
      <c r="L3" s="15" t="s">
        <v>378</v>
      </c>
      <c r="M3" s="15" t="s">
        <v>379</v>
      </c>
      <c r="N3" s="15" t="s">
        <v>380</v>
      </c>
      <c r="O3" s="15" t="s">
        <v>381</v>
      </c>
    </row>
    <row r="4" customFormat="false" ht="28.35" hidden="false" customHeight="false" outlineLevel="0" collapsed="false">
      <c r="A4" s="5" t="s">
        <v>382</v>
      </c>
      <c r="B4" s="5" t="s">
        <v>69</v>
      </c>
      <c r="C4" s="5" t="n">
        <v>1</v>
      </c>
      <c r="D4" s="5" t="s">
        <v>383</v>
      </c>
      <c r="E4" s="5" t="s">
        <v>384</v>
      </c>
      <c r="F4" s="5" t="n">
        <v>2023</v>
      </c>
      <c r="G4" s="5" t="s">
        <v>385</v>
      </c>
      <c r="H4" s="5" t="s">
        <v>386</v>
      </c>
      <c r="I4" s="5" t="s">
        <v>387</v>
      </c>
      <c r="J4" s="5" t="s">
        <v>388</v>
      </c>
      <c r="K4" s="5" t="s">
        <v>389</v>
      </c>
      <c r="L4" s="5" t="s">
        <v>390</v>
      </c>
      <c r="M4" s="5" t="s">
        <v>391</v>
      </c>
      <c r="N4" s="5" t="s">
        <v>392</v>
      </c>
      <c r="O4" s="5"/>
    </row>
    <row r="5" customFormat="false" ht="176.1" hidden="false" customHeight="false" outlineLevel="0" collapsed="false">
      <c r="A5" s="5" t="s">
        <v>393</v>
      </c>
      <c r="B5" s="5" t="s">
        <v>73</v>
      </c>
      <c r="C5" s="5" t="n">
        <v>1</v>
      </c>
      <c r="D5" s="5" t="s">
        <v>394</v>
      </c>
      <c r="E5" s="5" t="s">
        <v>395</v>
      </c>
      <c r="F5" s="5" t="n">
        <v>2024</v>
      </c>
      <c r="G5" s="5" t="s">
        <v>385</v>
      </c>
      <c r="H5" s="5" t="s">
        <v>228</v>
      </c>
      <c r="I5" s="5" t="s">
        <v>396</v>
      </c>
      <c r="J5" s="5" t="s">
        <v>388</v>
      </c>
      <c r="K5" s="5" t="s">
        <v>397</v>
      </c>
      <c r="L5" s="5" t="s">
        <v>390</v>
      </c>
      <c r="M5" s="5" t="s">
        <v>391</v>
      </c>
      <c r="N5" s="5" t="s">
        <v>398</v>
      </c>
      <c r="O5" s="5" t="s">
        <v>399</v>
      </c>
    </row>
    <row r="6" customFormat="false" ht="256.7" hidden="false" customHeight="false" outlineLevel="0" collapsed="false">
      <c r="A6" s="5" t="s">
        <v>400</v>
      </c>
      <c r="B6" s="5" t="s">
        <v>72</v>
      </c>
      <c r="C6" s="5" t="n">
        <v>1</v>
      </c>
      <c r="D6" s="5" t="s">
        <v>401</v>
      </c>
      <c r="E6" s="5" t="s">
        <v>402</v>
      </c>
      <c r="F6" s="5" t="n">
        <v>2023</v>
      </c>
      <c r="G6" s="5" t="s">
        <v>385</v>
      </c>
      <c r="H6" s="5" t="s">
        <v>403</v>
      </c>
      <c r="I6" s="5" t="s">
        <v>404</v>
      </c>
      <c r="J6" s="5" t="s">
        <v>388</v>
      </c>
      <c r="K6" s="5" t="s">
        <v>397</v>
      </c>
      <c r="L6" s="5" t="s">
        <v>390</v>
      </c>
      <c r="M6" s="5" t="s">
        <v>391</v>
      </c>
      <c r="N6" s="5" t="s">
        <v>405</v>
      </c>
      <c r="O6" s="5" t="s">
        <v>406</v>
      </c>
    </row>
    <row r="7" customFormat="false" ht="310.4" hidden="false" customHeight="false" outlineLevel="0" collapsed="false">
      <c r="A7" s="5" t="s">
        <v>407</v>
      </c>
      <c r="B7" s="5" t="s">
        <v>72</v>
      </c>
      <c r="C7" s="5" t="n">
        <v>1</v>
      </c>
      <c r="D7" s="5" t="s">
        <v>408</v>
      </c>
      <c r="E7" s="5" t="s">
        <v>409</v>
      </c>
      <c r="F7" s="5" t="n">
        <v>2024</v>
      </c>
      <c r="G7" s="5" t="s">
        <v>385</v>
      </c>
      <c r="H7" s="5" t="s">
        <v>223</v>
      </c>
      <c r="I7" s="5" t="s">
        <v>410</v>
      </c>
      <c r="J7" s="5" t="s">
        <v>388</v>
      </c>
      <c r="K7" s="5" t="s">
        <v>397</v>
      </c>
      <c r="L7" s="5" t="s">
        <v>390</v>
      </c>
      <c r="M7" s="5" t="s">
        <v>391</v>
      </c>
      <c r="N7" s="5" t="s">
        <v>405</v>
      </c>
      <c r="O7" s="5" t="s">
        <v>411</v>
      </c>
    </row>
    <row r="8" customFormat="false" ht="162.65" hidden="false" customHeight="false" outlineLevel="0" collapsed="false">
      <c r="A8" s="5" t="s">
        <v>412</v>
      </c>
      <c r="B8" s="5" t="s">
        <v>73</v>
      </c>
      <c r="C8" s="5" t="n">
        <v>1</v>
      </c>
      <c r="D8" s="5" t="s">
        <v>413</v>
      </c>
      <c r="E8" s="5" t="s">
        <v>414</v>
      </c>
      <c r="F8" s="5" t="n">
        <v>2026</v>
      </c>
      <c r="G8" s="5" t="s">
        <v>385</v>
      </c>
      <c r="H8" s="5" t="s">
        <v>228</v>
      </c>
      <c r="I8" s="5" t="s">
        <v>415</v>
      </c>
      <c r="J8" s="5" t="s">
        <v>388</v>
      </c>
      <c r="K8" s="5" t="s">
        <v>389</v>
      </c>
      <c r="L8" s="5" t="s">
        <v>390</v>
      </c>
      <c r="M8" s="5" t="s">
        <v>391</v>
      </c>
      <c r="N8" s="5" t="s">
        <v>398</v>
      </c>
      <c r="O8" s="5" t="s">
        <v>416</v>
      </c>
    </row>
    <row r="9" customFormat="false" ht="216.4" hidden="false" customHeight="false" outlineLevel="0" collapsed="false">
      <c r="A9" s="5" t="s">
        <v>417</v>
      </c>
      <c r="B9" s="5" t="s">
        <v>73</v>
      </c>
      <c r="C9" s="5" t="n">
        <v>1</v>
      </c>
      <c r="D9" s="5" t="s">
        <v>418</v>
      </c>
      <c r="E9" s="5" t="s">
        <v>419</v>
      </c>
      <c r="F9" s="5" t="n">
        <v>2026</v>
      </c>
      <c r="G9" s="5" t="s">
        <v>385</v>
      </c>
      <c r="H9" s="5" t="s">
        <v>420</v>
      </c>
      <c r="I9" s="5" t="s">
        <v>421</v>
      </c>
      <c r="J9" s="5" t="s">
        <v>388</v>
      </c>
      <c r="K9" s="5" t="s">
        <v>397</v>
      </c>
      <c r="L9" s="5" t="s">
        <v>390</v>
      </c>
      <c r="M9" s="5" t="s">
        <v>391</v>
      </c>
      <c r="N9" s="5" t="s">
        <v>398</v>
      </c>
      <c r="O9" s="5" t="s">
        <v>422</v>
      </c>
    </row>
    <row r="10" customFormat="false" ht="189.55" hidden="false" customHeight="false" outlineLevel="0" collapsed="false">
      <c r="A10" s="5" t="s">
        <v>423</v>
      </c>
      <c r="B10" s="5" t="s">
        <v>72</v>
      </c>
      <c r="C10" s="5" t="n">
        <v>1</v>
      </c>
      <c r="D10" s="5" t="s">
        <v>424</v>
      </c>
      <c r="E10" s="5" t="s">
        <v>425</v>
      </c>
      <c r="F10" s="5" t="n">
        <v>2025</v>
      </c>
      <c r="G10" s="5" t="s">
        <v>385</v>
      </c>
      <c r="H10" s="5" t="s">
        <v>276</v>
      </c>
      <c r="I10" s="5" t="s">
        <v>426</v>
      </c>
      <c r="J10" s="5" t="s">
        <v>388</v>
      </c>
      <c r="K10" s="5" t="s">
        <v>427</v>
      </c>
      <c r="L10" s="5" t="s">
        <v>428</v>
      </c>
      <c r="M10" s="5" t="s">
        <v>429</v>
      </c>
      <c r="N10" s="5" t="s">
        <v>405</v>
      </c>
      <c r="O10" s="5" t="s">
        <v>430</v>
      </c>
    </row>
    <row r="11" customFormat="false" ht="202.95" hidden="false" customHeight="false" outlineLevel="0" collapsed="false">
      <c r="A11" s="5" t="s">
        <v>431</v>
      </c>
      <c r="B11" s="5" t="s">
        <v>72</v>
      </c>
      <c r="C11" s="5" t="n">
        <v>1</v>
      </c>
      <c r="D11" s="5" t="s">
        <v>432</v>
      </c>
      <c r="E11" s="5" t="s">
        <v>433</v>
      </c>
      <c r="F11" s="5" t="n">
        <v>2025</v>
      </c>
      <c r="G11" s="5" t="s">
        <v>385</v>
      </c>
      <c r="H11" s="5" t="s">
        <v>434</v>
      </c>
      <c r="I11" s="5" t="s">
        <v>435</v>
      </c>
      <c r="J11" s="5" t="s">
        <v>388</v>
      </c>
      <c r="K11" s="5" t="s">
        <v>436</v>
      </c>
      <c r="L11" s="5" t="s">
        <v>390</v>
      </c>
      <c r="M11" s="5" t="s">
        <v>391</v>
      </c>
      <c r="N11" s="5" t="s">
        <v>405</v>
      </c>
      <c r="O11" s="5" t="s">
        <v>437</v>
      </c>
    </row>
    <row r="12" customFormat="false" ht="28.35" hidden="false" customHeight="false" outlineLevel="0" collapsed="false">
      <c r="A12" s="5" t="s">
        <v>438</v>
      </c>
      <c r="B12" s="5" t="s">
        <v>69</v>
      </c>
      <c r="C12" s="5" t="n">
        <v>1</v>
      </c>
      <c r="D12" s="5" t="s">
        <v>439</v>
      </c>
      <c r="E12" s="5" t="s">
        <v>440</v>
      </c>
      <c r="F12" s="5" t="n">
        <v>2024</v>
      </c>
      <c r="G12" s="5" t="s">
        <v>385</v>
      </c>
      <c r="H12" s="5" t="s">
        <v>441</v>
      </c>
      <c r="I12" s="5" t="s">
        <v>442</v>
      </c>
      <c r="J12" s="5" t="s">
        <v>388</v>
      </c>
      <c r="K12" s="5" t="s">
        <v>397</v>
      </c>
      <c r="L12" s="5" t="s">
        <v>390</v>
      </c>
      <c r="M12" s="5" t="s">
        <v>391</v>
      </c>
      <c r="N12" s="5" t="s">
        <v>392</v>
      </c>
      <c r="O12" s="5"/>
    </row>
    <row r="13" customFormat="false" ht="162.65" hidden="false" customHeight="false" outlineLevel="0" collapsed="false">
      <c r="A13" s="5" t="s">
        <v>443</v>
      </c>
      <c r="B13" s="5" t="s">
        <v>73</v>
      </c>
      <c r="C13" s="5" t="n">
        <v>1</v>
      </c>
      <c r="D13" s="5" t="s">
        <v>444</v>
      </c>
      <c r="E13" s="5" t="s">
        <v>445</v>
      </c>
      <c r="F13" s="5" t="n">
        <v>2026</v>
      </c>
      <c r="G13" s="5" t="s">
        <v>385</v>
      </c>
      <c r="H13" s="5" t="s">
        <v>446</v>
      </c>
      <c r="I13" s="5" t="s">
        <v>447</v>
      </c>
      <c r="J13" s="5" t="s">
        <v>388</v>
      </c>
      <c r="K13" s="5" t="s">
        <v>448</v>
      </c>
      <c r="L13" s="5" t="s">
        <v>390</v>
      </c>
      <c r="M13" s="5" t="s">
        <v>391</v>
      </c>
      <c r="N13" s="5" t="s">
        <v>398</v>
      </c>
      <c r="O13" s="5" t="s">
        <v>449</v>
      </c>
    </row>
    <row r="14" customFormat="false" ht="189.55" hidden="false" customHeight="false" outlineLevel="0" collapsed="false">
      <c r="A14" s="5" t="s">
        <v>450</v>
      </c>
      <c r="B14" s="5" t="s">
        <v>72</v>
      </c>
      <c r="C14" s="5" t="n">
        <v>1</v>
      </c>
      <c r="D14" s="5" t="s">
        <v>451</v>
      </c>
      <c r="E14" s="5" t="s">
        <v>452</v>
      </c>
      <c r="F14" s="5" t="n">
        <v>2022</v>
      </c>
      <c r="G14" s="5" t="s">
        <v>385</v>
      </c>
      <c r="H14" s="5" t="s">
        <v>453</v>
      </c>
      <c r="I14" s="5" t="s">
        <v>454</v>
      </c>
      <c r="J14" s="5" t="s">
        <v>388</v>
      </c>
      <c r="K14" s="5" t="s">
        <v>397</v>
      </c>
      <c r="L14" s="5" t="s">
        <v>390</v>
      </c>
      <c r="M14" s="5" t="s">
        <v>391</v>
      </c>
      <c r="N14" s="5" t="s">
        <v>405</v>
      </c>
      <c r="O14" s="5" t="s">
        <v>455</v>
      </c>
    </row>
    <row r="15" customFormat="false" ht="28.35" hidden="false" customHeight="false" outlineLevel="0" collapsed="false">
      <c r="A15" s="5" t="s">
        <v>456</v>
      </c>
      <c r="B15" s="5" t="s">
        <v>69</v>
      </c>
      <c r="C15" s="5" t="n">
        <v>1</v>
      </c>
      <c r="D15" s="5" t="s">
        <v>457</v>
      </c>
      <c r="E15" s="5" t="s">
        <v>458</v>
      </c>
      <c r="F15" s="5" t="n">
        <v>2018</v>
      </c>
      <c r="G15" s="5" t="s">
        <v>385</v>
      </c>
      <c r="H15" s="5" t="s">
        <v>459</v>
      </c>
      <c r="I15" s="5" t="s">
        <v>460</v>
      </c>
      <c r="J15" s="5" t="s">
        <v>388</v>
      </c>
      <c r="K15" s="5" t="s">
        <v>397</v>
      </c>
      <c r="L15" s="5" t="s">
        <v>390</v>
      </c>
      <c r="M15" s="5" t="s">
        <v>391</v>
      </c>
      <c r="N15" s="5" t="s">
        <v>392</v>
      </c>
      <c r="O15" s="5"/>
    </row>
    <row r="16" customFormat="false" ht="28.35" hidden="false" customHeight="false" outlineLevel="0" collapsed="false">
      <c r="A16" s="5" t="s">
        <v>461</v>
      </c>
      <c r="B16" s="5" t="s">
        <v>462</v>
      </c>
      <c r="C16" s="5" t="n">
        <v>2</v>
      </c>
      <c r="D16" s="5" t="s">
        <v>207</v>
      </c>
      <c r="E16" s="5" t="s">
        <v>208</v>
      </c>
      <c r="F16" s="5" t="n">
        <v>2021</v>
      </c>
      <c r="G16" s="5" t="s">
        <v>385</v>
      </c>
      <c r="H16" s="5" t="s">
        <v>209</v>
      </c>
      <c r="I16" s="5" t="s">
        <v>210</v>
      </c>
      <c r="J16" s="5" t="s">
        <v>463</v>
      </c>
      <c r="K16" s="5" t="s">
        <v>464</v>
      </c>
      <c r="L16" s="5" t="s">
        <v>465</v>
      </c>
      <c r="M16" s="5" t="s">
        <v>466</v>
      </c>
      <c r="N16" s="5" t="s">
        <v>467</v>
      </c>
      <c r="O16" s="5"/>
    </row>
    <row r="17" customFormat="false" ht="28.35" hidden="false" customHeight="false" outlineLevel="0" collapsed="false">
      <c r="A17" s="5" t="s">
        <v>468</v>
      </c>
      <c r="B17" s="5" t="s">
        <v>69</v>
      </c>
      <c r="C17" s="5" t="n">
        <v>1</v>
      </c>
      <c r="D17" s="5" t="s">
        <v>469</v>
      </c>
      <c r="E17" s="5" t="s">
        <v>470</v>
      </c>
      <c r="F17" s="5" t="n">
        <v>2023</v>
      </c>
      <c r="G17" s="5" t="s">
        <v>385</v>
      </c>
      <c r="H17" s="5" t="s">
        <v>233</v>
      </c>
      <c r="I17" s="5" t="s">
        <v>471</v>
      </c>
      <c r="J17" s="5" t="s">
        <v>388</v>
      </c>
      <c r="K17" s="5" t="s">
        <v>389</v>
      </c>
      <c r="L17" s="5" t="s">
        <v>390</v>
      </c>
      <c r="M17" s="5" t="s">
        <v>391</v>
      </c>
      <c r="N17" s="5" t="s">
        <v>392</v>
      </c>
      <c r="O17" s="5"/>
    </row>
    <row r="18" customFormat="false" ht="122.35" hidden="false" customHeight="false" outlineLevel="0" collapsed="false">
      <c r="A18" s="5" t="s">
        <v>472</v>
      </c>
      <c r="B18" s="5" t="s">
        <v>72</v>
      </c>
      <c r="C18" s="5" t="n">
        <v>1</v>
      </c>
      <c r="D18" s="5" t="s">
        <v>188</v>
      </c>
      <c r="E18" s="5" t="s">
        <v>189</v>
      </c>
      <c r="F18" s="5" t="n">
        <v>2019</v>
      </c>
      <c r="G18" s="5" t="s">
        <v>385</v>
      </c>
      <c r="H18" s="5" t="s">
        <v>190</v>
      </c>
      <c r="I18" s="5" t="s">
        <v>191</v>
      </c>
      <c r="J18" s="5" t="s">
        <v>463</v>
      </c>
      <c r="K18" s="5" t="s">
        <v>464</v>
      </c>
      <c r="L18" s="5" t="s">
        <v>465</v>
      </c>
      <c r="M18" s="5" t="s">
        <v>466</v>
      </c>
      <c r="N18" s="5" t="s">
        <v>405</v>
      </c>
      <c r="O18" s="5" t="s">
        <v>473</v>
      </c>
    </row>
    <row r="19" customFormat="false" ht="162.65" hidden="false" customHeight="false" outlineLevel="0" collapsed="false">
      <c r="A19" s="5" t="s">
        <v>474</v>
      </c>
      <c r="B19" s="5" t="s">
        <v>475</v>
      </c>
      <c r="C19" s="5" t="n">
        <v>2</v>
      </c>
      <c r="D19" s="5" t="s">
        <v>242</v>
      </c>
      <c r="E19" s="5" t="s">
        <v>243</v>
      </c>
      <c r="F19" s="5" t="n">
        <v>2023</v>
      </c>
      <c r="G19" s="5" t="s">
        <v>385</v>
      </c>
      <c r="H19" s="5" t="s">
        <v>244</v>
      </c>
      <c r="I19" s="5" t="s">
        <v>245</v>
      </c>
      <c r="J19" s="5" t="s">
        <v>463</v>
      </c>
      <c r="K19" s="5" t="s">
        <v>464</v>
      </c>
      <c r="L19" s="5" t="s">
        <v>465</v>
      </c>
      <c r="M19" s="5" t="s">
        <v>466</v>
      </c>
      <c r="N19" s="5" t="s">
        <v>476</v>
      </c>
      <c r="O19" s="5" t="s">
        <v>477</v>
      </c>
    </row>
    <row r="20" customFormat="false" ht="202.95" hidden="false" customHeight="false" outlineLevel="0" collapsed="false">
      <c r="A20" s="5" t="s">
        <v>478</v>
      </c>
      <c r="B20" s="5" t="s">
        <v>72</v>
      </c>
      <c r="C20" s="5" t="n">
        <v>1</v>
      </c>
      <c r="D20" s="5" t="s">
        <v>479</v>
      </c>
      <c r="E20" s="5" t="s">
        <v>480</v>
      </c>
      <c r="F20" s="5" t="n">
        <v>2019</v>
      </c>
      <c r="G20" s="5" t="s">
        <v>385</v>
      </c>
      <c r="H20" s="5" t="s">
        <v>244</v>
      </c>
      <c r="I20" s="5" t="s">
        <v>481</v>
      </c>
      <c r="J20" s="5" t="s">
        <v>388</v>
      </c>
      <c r="K20" s="5" t="s">
        <v>168</v>
      </c>
      <c r="L20" s="5" t="s">
        <v>390</v>
      </c>
      <c r="M20" s="5" t="s">
        <v>482</v>
      </c>
      <c r="N20" s="5" t="s">
        <v>405</v>
      </c>
      <c r="O20" s="5" t="s">
        <v>483</v>
      </c>
    </row>
    <row r="21" customFormat="false" ht="229.85" hidden="false" customHeight="false" outlineLevel="0" collapsed="false">
      <c r="A21" s="5" t="s">
        <v>484</v>
      </c>
      <c r="B21" s="5" t="s">
        <v>73</v>
      </c>
      <c r="C21" s="5" t="n">
        <v>1</v>
      </c>
      <c r="D21" s="5" t="s">
        <v>485</v>
      </c>
      <c r="E21" s="5" t="s">
        <v>486</v>
      </c>
      <c r="F21" s="5" t="n">
        <v>2025</v>
      </c>
      <c r="G21" s="5" t="s">
        <v>385</v>
      </c>
      <c r="H21" s="5" t="s">
        <v>487</v>
      </c>
      <c r="I21" s="5" t="s">
        <v>488</v>
      </c>
      <c r="J21" s="5" t="s">
        <v>388</v>
      </c>
      <c r="K21" s="5" t="s">
        <v>389</v>
      </c>
      <c r="L21" s="5" t="s">
        <v>390</v>
      </c>
      <c r="M21" s="5" t="s">
        <v>391</v>
      </c>
      <c r="N21" s="5" t="s">
        <v>398</v>
      </c>
      <c r="O21" s="5" t="s">
        <v>489</v>
      </c>
    </row>
    <row r="22" customFormat="false" ht="149.25" hidden="false" customHeight="false" outlineLevel="0" collapsed="false">
      <c r="A22" s="5" t="s">
        <v>490</v>
      </c>
      <c r="B22" s="5" t="s">
        <v>73</v>
      </c>
      <c r="C22" s="5" t="n">
        <v>1</v>
      </c>
      <c r="D22" s="5" t="s">
        <v>491</v>
      </c>
      <c r="E22" s="5" t="s">
        <v>492</v>
      </c>
      <c r="F22" s="5" t="n">
        <v>2022</v>
      </c>
      <c r="G22" s="5" t="s">
        <v>385</v>
      </c>
      <c r="H22" s="5" t="s">
        <v>228</v>
      </c>
      <c r="I22" s="5" t="s">
        <v>493</v>
      </c>
      <c r="J22" s="5" t="s">
        <v>388</v>
      </c>
      <c r="K22" s="5" t="s">
        <v>397</v>
      </c>
      <c r="L22" s="5" t="s">
        <v>390</v>
      </c>
      <c r="M22" s="5" t="s">
        <v>391</v>
      </c>
      <c r="N22" s="5" t="s">
        <v>398</v>
      </c>
      <c r="O22" s="5" t="s">
        <v>494</v>
      </c>
    </row>
    <row r="23" customFormat="false" ht="28.35" hidden="false" customHeight="false" outlineLevel="0" collapsed="false">
      <c r="A23" s="5" t="s">
        <v>495</v>
      </c>
      <c r="B23" s="5" t="s">
        <v>69</v>
      </c>
      <c r="C23" s="5" t="n">
        <v>1</v>
      </c>
      <c r="D23" s="5" t="s">
        <v>496</v>
      </c>
      <c r="E23" s="5" t="s">
        <v>497</v>
      </c>
      <c r="F23" s="5" t="n">
        <v>2023</v>
      </c>
      <c r="G23" s="5" t="s">
        <v>385</v>
      </c>
      <c r="H23" s="5" t="s">
        <v>254</v>
      </c>
      <c r="I23" s="5" t="s">
        <v>498</v>
      </c>
      <c r="J23" s="5" t="s">
        <v>388</v>
      </c>
      <c r="K23" s="5" t="s">
        <v>397</v>
      </c>
      <c r="L23" s="5" t="s">
        <v>390</v>
      </c>
      <c r="M23" s="5" t="s">
        <v>391</v>
      </c>
      <c r="N23" s="5" t="s">
        <v>392</v>
      </c>
      <c r="O23" s="5"/>
    </row>
    <row r="24" customFormat="false" ht="28.35" hidden="false" customHeight="false" outlineLevel="0" collapsed="false">
      <c r="A24" s="5" t="s">
        <v>499</v>
      </c>
      <c r="B24" s="5" t="s">
        <v>69</v>
      </c>
      <c r="C24" s="5" t="n">
        <v>1</v>
      </c>
      <c r="D24" s="5" t="s">
        <v>500</v>
      </c>
      <c r="E24" s="5" t="s">
        <v>501</v>
      </c>
      <c r="F24" s="5" t="n">
        <v>2022</v>
      </c>
      <c r="G24" s="5" t="s">
        <v>385</v>
      </c>
      <c r="H24" s="5" t="s">
        <v>502</v>
      </c>
      <c r="I24" s="5" t="s">
        <v>503</v>
      </c>
      <c r="J24" s="5" t="s">
        <v>388</v>
      </c>
      <c r="K24" s="5" t="s">
        <v>389</v>
      </c>
      <c r="L24" s="5" t="s">
        <v>390</v>
      </c>
      <c r="M24" s="5" t="s">
        <v>391</v>
      </c>
      <c r="N24" s="5" t="s">
        <v>392</v>
      </c>
      <c r="O24" s="5"/>
    </row>
    <row r="25" customFormat="false" ht="41.75" hidden="false" customHeight="false" outlineLevel="0" collapsed="false">
      <c r="A25" s="5" t="s">
        <v>504</v>
      </c>
      <c r="B25" s="5" t="s">
        <v>69</v>
      </c>
      <c r="C25" s="5" t="n">
        <v>1</v>
      </c>
      <c r="D25" s="5" t="s">
        <v>505</v>
      </c>
      <c r="E25" s="5" t="s">
        <v>506</v>
      </c>
      <c r="F25" s="5" t="n">
        <v>2024</v>
      </c>
      <c r="G25" s="5" t="s">
        <v>385</v>
      </c>
      <c r="H25" s="5" t="s">
        <v>507</v>
      </c>
      <c r="I25" s="5" t="s">
        <v>508</v>
      </c>
      <c r="J25" s="5" t="s">
        <v>388</v>
      </c>
      <c r="K25" s="5" t="s">
        <v>389</v>
      </c>
      <c r="L25" s="5" t="s">
        <v>390</v>
      </c>
      <c r="M25" s="5" t="s">
        <v>391</v>
      </c>
      <c r="N25" s="5" t="s">
        <v>392</v>
      </c>
      <c r="O25" s="5"/>
    </row>
    <row r="26" customFormat="false" ht="270.1" hidden="false" customHeight="false" outlineLevel="0" collapsed="false">
      <c r="A26" s="5" t="s">
        <v>509</v>
      </c>
      <c r="B26" s="5" t="s">
        <v>73</v>
      </c>
      <c r="C26" s="5" t="n">
        <v>1</v>
      </c>
      <c r="D26" s="5" t="s">
        <v>510</v>
      </c>
      <c r="E26" s="5" t="s">
        <v>511</v>
      </c>
      <c r="F26" s="5" t="n">
        <v>2025</v>
      </c>
      <c r="G26" s="5" t="s">
        <v>385</v>
      </c>
      <c r="H26" s="5" t="s">
        <v>228</v>
      </c>
      <c r="I26" s="5" t="s">
        <v>512</v>
      </c>
      <c r="J26" s="5" t="s">
        <v>388</v>
      </c>
      <c r="K26" s="5" t="s">
        <v>389</v>
      </c>
      <c r="L26" s="5" t="s">
        <v>390</v>
      </c>
      <c r="M26" s="5" t="s">
        <v>391</v>
      </c>
      <c r="N26" s="5" t="s">
        <v>398</v>
      </c>
      <c r="O26" s="5" t="s">
        <v>513</v>
      </c>
    </row>
    <row r="27" customFormat="false" ht="162.65" hidden="false" customHeight="false" outlineLevel="0" collapsed="false">
      <c r="A27" s="5" t="s">
        <v>514</v>
      </c>
      <c r="B27" s="5" t="s">
        <v>73</v>
      </c>
      <c r="C27" s="5" t="n">
        <v>1</v>
      </c>
      <c r="D27" s="5" t="s">
        <v>515</v>
      </c>
      <c r="E27" s="5" t="s">
        <v>516</v>
      </c>
      <c r="F27" s="5" t="n">
        <v>2021</v>
      </c>
      <c r="G27" s="5" t="s">
        <v>385</v>
      </c>
      <c r="H27" s="5" t="s">
        <v>517</v>
      </c>
      <c r="I27" s="5" t="s">
        <v>518</v>
      </c>
      <c r="J27" s="5" t="s">
        <v>388</v>
      </c>
      <c r="K27" s="5" t="s">
        <v>397</v>
      </c>
      <c r="L27" s="5" t="s">
        <v>390</v>
      </c>
      <c r="M27" s="5" t="s">
        <v>391</v>
      </c>
      <c r="N27" s="5" t="s">
        <v>398</v>
      </c>
      <c r="O27" s="5" t="s">
        <v>519</v>
      </c>
    </row>
    <row r="28" customFormat="false" ht="28.35" hidden="false" customHeight="false" outlineLevel="0" collapsed="false">
      <c r="A28" s="5" t="s">
        <v>520</v>
      </c>
      <c r="B28" s="5" t="s">
        <v>69</v>
      </c>
      <c r="C28" s="5" t="n">
        <v>1</v>
      </c>
      <c r="D28" s="5" t="s">
        <v>521</v>
      </c>
      <c r="E28" s="5" t="s">
        <v>522</v>
      </c>
      <c r="F28" s="5" t="n">
        <v>2024</v>
      </c>
      <c r="G28" s="5" t="s">
        <v>385</v>
      </c>
      <c r="H28" s="5" t="s">
        <v>523</v>
      </c>
      <c r="I28" s="5" t="s">
        <v>524</v>
      </c>
      <c r="J28" s="5" t="s">
        <v>388</v>
      </c>
      <c r="K28" s="5" t="s">
        <v>397</v>
      </c>
      <c r="L28" s="5" t="s">
        <v>390</v>
      </c>
      <c r="M28" s="5" t="s">
        <v>391</v>
      </c>
      <c r="N28" s="5" t="s">
        <v>392</v>
      </c>
      <c r="O28" s="5"/>
    </row>
    <row r="29" customFormat="false" ht="297" hidden="false" customHeight="false" outlineLevel="0" collapsed="false">
      <c r="A29" s="5" t="s">
        <v>525</v>
      </c>
      <c r="B29" s="5" t="s">
        <v>72</v>
      </c>
      <c r="C29" s="5" t="n">
        <v>1</v>
      </c>
      <c r="D29" s="5" t="s">
        <v>526</v>
      </c>
      <c r="E29" s="5" t="s">
        <v>527</v>
      </c>
      <c r="F29" s="5" t="n">
        <v>2025</v>
      </c>
      <c r="G29" s="5" t="s">
        <v>385</v>
      </c>
      <c r="H29" s="5" t="s">
        <v>453</v>
      </c>
      <c r="I29" s="5" t="s">
        <v>528</v>
      </c>
      <c r="J29" s="5" t="s">
        <v>388</v>
      </c>
      <c r="K29" s="5" t="s">
        <v>397</v>
      </c>
      <c r="L29" s="5" t="s">
        <v>390</v>
      </c>
      <c r="M29" s="5" t="s">
        <v>391</v>
      </c>
      <c r="N29" s="5" t="s">
        <v>405</v>
      </c>
      <c r="O29" s="5" t="s">
        <v>529</v>
      </c>
    </row>
    <row r="30" customFormat="false" ht="41.75" hidden="false" customHeight="false" outlineLevel="0" collapsed="false">
      <c r="A30" s="5" t="s">
        <v>530</v>
      </c>
      <c r="B30" s="5" t="s">
        <v>69</v>
      </c>
      <c r="C30" s="5" t="n">
        <v>1</v>
      </c>
      <c r="D30" s="5" t="s">
        <v>531</v>
      </c>
      <c r="E30" s="5" t="s">
        <v>532</v>
      </c>
      <c r="F30" s="5" t="n">
        <v>2022</v>
      </c>
      <c r="G30" s="5" t="s">
        <v>385</v>
      </c>
      <c r="H30" s="5" t="s">
        <v>254</v>
      </c>
      <c r="I30" s="5" t="s">
        <v>533</v>
      </c>
      <c r="J30" s="5" t="s">
        <v>388</v>
      </c>
      <c r="K30" s="5" t="s">
        <v>397</v>
      </c>
      <c r="L30" s="5" t="s">
        <v>390</v>
      </c>
      <c r="M30" s="5" t="s">
        <v>391</v>
      </c>
      <c r="N30" s="5" t="s">
        <v>392</v>
      </c>
      <c r="O30" s="5"/>
    </row>
    <row r="31" customFormat="false" ht="229.85" hidden="false" customHeight="false" outlineLevel="0" collapsed="false">
      <c r="A31" s="5" t="s">
        <v>534</v>
      </c>
      <c r="B31" s="5" t="s">
        <v>72</v>
      </c>
      <c r="C31" s="5" t="n">
        <v>1</v>
      </c>
      <c r="D31" s="5" t="s">
        <v>535</v>
      </c>
      <c r="E31" s="5" t="s">
        <v>536</v>
      </c>
      <c r="F31" s="5" t="n">
        <v>2025</v>
      </c>
      <c r="G31" s="5" t="s">
        <v>385</v>
      </c>
      <c r="H31" s="5" t="s">
        <v>204</v>
      </c>
      <c r="I31" s="5" t="s">
        <v>537</v>
      </c>
      <c r="J31" s="5" t="s">
        <v>388</v>
      </c>
      <c r="K31" s="5" t="s">
        <v>397</v>
      </c>
      <c r="L31" s="5" t="s">
        <v>390</v>
      </c>
      <c r="M31" s="5" t="s">
        <v>391</v>
      </c>
      <c r="N31" s="5" t="s">
        <v>405</v>
      </c>
      <c r="O31" s="5" t="s">
        <v>538</v>
      </c>
    </row>
    <row r="32" customFormat="false" ht="229.85" hidden="false" customHeight="false" outlineLevel="0" collapsed="false">
      <c r="A32" s="5" t="s">
        <v>539</v>
      </c>
      <c r="B32" s="5" t="s">
        <v>72</v>
      </c>
      <c r="C32" s="5" t="n">
        <v>1</v>
      </c>
      <c r="D32" s="5" t="s">
        <v>540</v>
      </c>
      <c r="E32" s="5" t="s">
        <v>541</v>
      </c>
      <c r="F32" s="5" t="n">
        <v>2024</v>
      </c>
      <c r="G32" s="5" t="s">
        <v>385</v>
      </c>
      <c r="H32" s="5" t="s">
        <v>276</v>
      </c>
      <c r="I32" s="5" t="s">
        <v>542</v>
      </c>
      <c r="J32" s="5" t="s">
        <v>388</v>
      </c>
      <c r="K32" s="5" t="s">
        <v>436</v>
      </c>
      <c r="L32" s="5" t="s">
        <v>390</v>
      </c>
      <c r="M32" s="5" t="s">
        <v>391</v>
      </c>
      <c r="N32" s="5" t="s">
        <v>405</v>
      </c>
      <c r="O32" s="5" t="s">
        <v>543</v>
      </c>
    </row>
    <row r="33" customFormat="false" ht="216.4" hidden="false" customHeight="false" outlineLevel="0" collapsed="false">
      <c r="A33" s="5" t="s">
        <v>544</v>
      </c>
      <c r="B33" s="5" t="s">
        <v>72</v>
      </c>
      <c r="C33" s="5" t="n">
        <v>1</v>
      </c>
      <c r="D33" s="5" t="s">
        <v>266</v>
      </c>
      <c r="E33" s="5" t="s">
        <v>267</v>
      </c>
      <c r="F33" s="5" t="n">
        <v>2025</v>
      </c>
      <c r="G33" s="5" t="s">
        <v>385</v>
      </c>
      <c r="H33" s="5" t="s">
        <v>268</v>
      </c>
      <c r="I33" s="5" t="s">
        <v>269</v>
      </c>
      <c r="J33" s="5" t="s">
        <v>463</v>
      </c>
      <c r="K33" s="5" t="s">
        <v>545</v>
      </c>
      <c r="L33" s="5" t="s">
        <v>465</v>
      </c>
      <c r="M33" s="5" t="s">
        <v>466</v>
      </c>
      <c r="N33" s="5" t="s">
        <v>405</v>
      </c>
      <c r="O33" s="5" t="s">
        <v>546</v>
      </c>
    </row>
    <row r="34" customFormat="false" ht="28.35" hidden="false" customHeight="false" outlineLevel="0" collapsed="false">
      <c r="A34" s="5" t="s">
        <v>547</v>
      </c>
      <c r="B34" s="5" t="s">
        <v>69</v>
      </c>
      <c r="C34" s="5" t="n">
        <v>1</v>
      </c>
      <c r="D34" s="5" t="s">
        <v>548</v>
      </c>
      <c r="E34" s="5" t="s">
        <v>549</v>
      </c>
      <c r="F34" s="5" t="n">
        <v>2024</v>
      </c>
      <c r="G34" s="5" t="s">
        <v>385</v>
      </c>
      <c r="H34" s="5" t="s">
        <v>254</v>
      </c>
      <c r="I34" s="5" t="s">
        <v>550</v>
      </c>
      <c r="J34" s="5" t="s">
        <v>388</v>
      </c>
      <c r="K34" s="5" t="s">
        <v>397</v>
      </c>
      <c r="L34" s="5" t="s">
        <v>390</v>
      </c>
      <c r="M34" s="5" t="s">
        <v>391</v>
      </c>
      <c r="N34" s="5" t="s">
        <v>392</v>
      </c>
      <c r="O34" s="5"/>
    </row>
    <row r="35" customFormat="false" ht="243.25" hidden="false" customHeight="false" outlineLevel="0" collapsed="false">
      <c r="A35" s="5" t="s">
        <v>551</v>
      </c>
      <c r="B35" s="5" t="s">
        <v>72</v>
      </c>
      <c r="C35" s="5" t="n">
        <v>1</v>
      </c>
      <c r="D35" s="5" t="s">
        <v>552</v>
      </c>
      <c r="E35" s="5" t="s">
        <v>553</v>
      </c>
      <c r="F35" s="5" t="n">
        <v>2023</v>
      </c>
      <c r="G35" s="5" t="s">
        <v>385</v>
      </c>
      <c r="H35" s="5" t="s">
        <v>276</v>
      </c>
      <c r="I35" s="5" t="s">
        <v>554</v>
      </c>
      <c r="J35" s="5" t="s">
        <v>388</v>
      </c>
      <c r="K35" s="5" t="s">
        <v>448</v>
      </c>
      <c r="L35" s="5" t="s">
        <v>390</v>
      </c>
      <c r="M35" s="5" t="s">
        <v>391</v>
      </c>
      <c r="N35" s="5" t="s">
        <v>405</v>
      </c>
      <c r="O35" s="5" t="s">
        <v>555</v>
      </c>
    </row>
    <row r="36" customFormat="false" ht="364.15" hidden="false" customHeight="false" outlineLevel="0" collapsed="false">
      <c r="A36" s="5" t="s">
        <v>556</v>
      </c>
      <c r="B36" s="5" t="s">
        <v>475</v>
      </c>
      <c r="C36" s="5" t="n">
        <v>2</v>
      </c>
      <c r="D36" s="5" t="s">
        <v>557</v>
      </c>
      <c r="E36" s="5" t="s">
        <v>558</v>
      </c>
      <c r="F36" s="5" t="n">
        <v>2022</v>
      </c>
      <c r="G36" s="5" t="s">
        <v>385</v>
      </c>
      <c r="H36" s="5" t="s">
        <v>559</v>
      </c>
      <c r="I36" s="5" t="s">
        <v>560</v>
      </c>
      <c r="J36" s="5" t="s">
        <v>388</v>
      </c>
      <c r="K36" s="5" t="s">
        <v>448</v>
      </c>
      <c r="L36" s="5" t="s">
        <v>390</v>
      </c>
      <c r="M36" s="5" t="s">
        <v>391</v>
      </c>
      <c r="N36" s="5" t="s">
        <v>476</v>
      </c>
      <c r="O36" s="5" t="s">
        <v>561</v>
      </c>
    </row>
    <row r="37" customFormat="false" ht="176.1" hidden="false" customHeight="false" outlineLevel="0" collapsed="false">
      <c r="A37" s="5" t="s">
        <v>562</v>
      </c>
      <c r="B37" s="5" t="s">
        <v>73</v>
      </c>
      <c r="C37" s="5" t="n">
        <v>1</v>
      </c>
      <c r="D37" s="5" t="s">
        <v>563</v>
      </c>
      <c r="E37" s="5" t="s">
        <v>564</v>
      </c>
      <c r="F37" s="5" t="n">
        <v>2024</v>
      </c>
      <c r="G37" s="5" t="s">
        <v>385</v>
      </c>
      <c r="H37" s="5" t="s">
        <v>228</v>
      </c>
      <c r="I37" s="5" t="s">
        <v>565</v>
      </c>
      <c r="J37" s="5" t="s">
        <v>388</v>
      </c>
      <c r="K37" s="5" t="s">
        <v>397</v>
      </c>
      <c r="L37" s="5" t="s">
        <v>390</v>
      </c>
      <c r="M37" s="5" t="s">
        <v>391</v>
      </c>
      <c r="N37" s="5" t="s">
        <v>398</v>
      </c>
      <c r="O37" s="5" t="s">
        <v>566</v>
      </c>
    </row>
    <row r="38" customFormat="false" ht="310.4" hidden="false" customHeight="false" outlineLevel="0" collapsed="false">
      <c r="A38" s="5" t="s">
        <v>567</v>
      </c>
      <c r="B38" s="5" t="s">
        <v>73</v>
      </c>
      <c r="C38" s="5" t="n">
        <v>1</v>
      </c>
      <c r="D38" s="5" t="s">
        <v>568</v>
      </c>
      <c r="E38" s="5" t="s">
        <v>569</v>
      </c>
      <c r="F38" s="5" t="n">
        <v>2024</v>
      </c>
      <c r="G38" s="5" t="s">
        <v>385</v>
      </c>
      <c r="H38" s="5" t="s">
        <v>228</v>
      </c>
      <c r="I38" s="5" t="s">
        <v>570</v>
      </c>
      <c r="J38" s="5" t="s">
        <v>388</v>
      </c>
      <c r="K38" s="5" t="s">
        <v>397</v>
      </c>
      <c r="L38" s="5" t="s">
        <v>390</v>
      </c>
      <c r="M38" s="5" t="s">
        <v>391</v>
      </c>
      <c r="N38" s="5" t="s">
        <v>398</v>
      </c>
      <c r="O38" s="5" t="s">
        <v>571</v>
      </c>
    </row>
    <row r="39" customFormat="false" ht="41.75" hidden="false" customHeight="false" outlineLevel="0" collapsed="false">
      <c r="A39" s="5" t="s">
        <v>572</v>
      </c>
      <c r="B39" s="5" t="s">
        <v>69</v>
      </c>
      <c r="C39" s="5" t="n">
        <v>1</v>
      </c>
      <c r="D39" s="5" t="s">
        <v>573</v>
      </c>
      <c r="E39" s="5" t="s">
        <v>574</v>
      </c>
      <c r="F39" s="5" t="n">
        <v>2024</v>
      </c>
      <c r="G39" s="5" t="s">
        <v>385</v>
      </c>
      <c r="H39" s="5" t="s">
        <v>575</v>
      </c>
      <c r="I39" s="5" t="s">
        <v>576</v>
      </c>
      <c r="J39" s="5" t="s">
        <v>388</v>
      </c>
      <c r="K39" s="5" t="s">
        <v>397</v>
      </c>
      <c r="L39" s="5" t="s">
        <v>390</v>
      </c>
      <c r="M39" s="5" t="s">
        <v>391</v>
      </c>
      <c r="N39" s="5" t="s">
        <v>392</v>
      </c>
      <c r="O39" s="5"/>
    </row>
    <row r="40" customFormat="false" ht="55.2" hidden="false" customHeight="false" outlineLevel="0" collapsed="false">
      <c r="A40" s="5" t="s">
        <v>577</v>
      </c>
      <c r="B40" s="5" t="s">
        <v>69</v>
      </c>
      <c r="C40" s="5" t="n">
        <v>1</v>
      </c>
      <c r="D40" s="5" t="s">
        <v>578</v>
      </c>
      <c r="E40" s="5" t="s">
        <v>579</v>
      </c>
      <c r="F40" s="5" t="n">
        <v>2024</v>
      </c>
      <c r="G40" s="5" t="s">
        <v>385</v>
      </c>
      <c r="H40" s="5" t="s">
        <v>580</v>
      </c>
      <c r="I40" s="5" t="s">
        <v>581</v>
      </c>
      <c r="J40" s="5" t="s">
        <v>388</v>
      </c>
      <c r="K40" s="5" t="s">
        <v>397</v>
      </c>
      <c r="L40" s="5" t="s">
        <v>390</v>
      </c>
      <c r="M40" s="5" t="s">
        <v>391</v>
      </c>
      <c r="N40" s="5" t="s">
        <v>392</v>
      </c>
      <c r="O40" s="5"/>
    </row>
    <row r="41" customFormat="false" ht="243.25" hidden="false" customHeight="false" outlineLevel="0" collapsed="false">
      <c r="A41" s="5" t="s">
        <v>582</v>
      </c>
      <c r="B41" s="5" t="s">
        <v>73</v>
      </c>
      <c r="C41" s="5" t="n">
        <v>1</v>
      </c>
      <c r="D41" s="5" t="s">
        <v>583</v>
      </c>
      <c r="E41" s="5" t="s">
        <v>584</v>
      </c>
      <c r="F41" s="5" t="n">
        <v>2026</v>
      </c>
      <c r="G41" s="5" t="s">
        <v>385</v>
      </c>
      <c r="H41" s="5" t="s">
        <v>228</v>
      </c>
      <c r="I41" s="5" t="s">
        <v>585</v>
      </c>
      <c r="J41" s="5" t="s">
        <v>388</v>
      </c>
      <c r="K41" s="5" t="s">
        <v>397</v>
      </c>
      <c r="L41" s="5" t="s">
        <v>390</v>
      </c>
      <c r="M41" s="5" t="s">
        <v>391</v>
      </c>
      <c r="N41" s="5" t="s">
        <v>398</v>
      </c>
      <c r="O41" s="5" t="s">
        <v>586</v>
      </c>
    </row>
    <row r="42" customFormat="false" ht="68.65" hidden="false" customHeight="false" outlineLevel="0" collapsed="false">
      <c r="A42" s="5" t="s">
        <v>587</v>
      </c>
      <c r="B42" s="5" t="s">
        <v>72</v>
      </c>
      <c r="C42" s="5" t="n">
        <v>1</v>
      </c>
      <c r="D42" s="5" t="s">
        <v>588</v>
      </c>
      <c r="E42" s="5" t="s">
        <v>589</v>
      </c>
      <c r="F42" s="5" t="n">
        <v>2022</v>
      </c>
      <c r="G42" s="5" t="s">
        <v>385</v>
      </c>
      <c r="H42" s="5" t="s">
        <v>244</v>
      </c>
      <c r="I42" s="5" t="s">
        <v>590</v>
      </c>
      <c r="J42" s="5" t="s">
        <v>388</v>
      </c>
      <c r="K42" s="5" t="s">
        <v>397</v>
      </c>
      <c r="L42" s="5" t="s">
        <v>390</v>
      </c>
      <c r="M42" s="5" t="s">
        <v>591</v>
      </c>
      <c r="N42" s="5" t="s">
        <v>405</v>
      </c>
      <c r="O42" s="5"/>
    </row>
    <row r="43" customFormat="false" ht="28.35" hidden="false" customHeight="false" outlineLevel="0" collapsed="false">
      <c r="A43" s="5" t="s">
        <v>592</v>
      </c>
      <c r="B43" s="5" t="s">
        <v>69</v>
      </c>
      <c r="C43" s="5" t="n">
        <v>1</v>
      </c>
      <c r="D43" s="5" t="s">
        <v>252</v>
      </c>
      <c r="E43" s="5" t="s">
        <v>253</v>
      </c>
      <c r="F43" s="5" t="n">
        <v>2024</v>
      </c>
      <c r="G43" s="5" t="s">
        <v>385</v>
      </c>
      <c r="H43" s="5" t="s">
        <v>254</v>
      </c>
      <c r="I43" s="5" t="s">
        <v>255</v>
      </c>
      <c r="J43" s="5" t="s">
        <v>463</v>
      </c>
      <c r="K43" s="5" t="s">
        <v>464</v>
      </c>
      <c r="L43" s="5" t="s">
        <v>465</v>
      </c>
      <c r="M43" s="5" t="s">
        <v>466</v>
      </c>
      <c r="N43" s="5" t="s">
        <v>392</v>
      </c>
      <c r="O43" s="5"/>
    </row>
    <row r="44" customFormat="false" ht="229.85" hidden="false" customHeight="false" outlineLevel="0" collapsed="false">
      <c r="A44" s="5" t="s">
        <v>593</v>
      </c>
      <c r="B44" s="5" t="s">
        <v>72</v>
      </c>
      <c r="C44" s="5" t="n">
        <v>1</v>
      </c>
      <c r="D44" s="5" t="s">
        <v>594</v>
      </c>
      <c r="E44" s="5" t="s">
        <v>595</v>
      </c>
      <c r="F44" s="5" t="n">
        <v>2024</v>
      </c>
      <c r="G44" s="5" t="s">
        <v>385</v>
      </c>
      <c r="H44" s="5" t="s">
        <v>453</v>
      </c>
      <c r="I44" s="5" t="s">
        <v>596</v>
      </c>
      <c r="J44" s="5" t="s">
        <v>388</v>
      </c>
      <c r="K44" s="5" t="s">
        <v>397</v>
      </c>
      <c r="L44" s="5" t="s">
        <v>390</v>
      </c>
      <c r="M44" s="5" t="s">
        <v>391</v>
      </c>
      <c r="N44" s="5" t="s">
        <v>405</v>
      </c>
      <c r="O44" s="5" t="s">
        <v>597</v>
      </c>
    </row>
    <row r="45" customFormat="false" ht="28.35" hidden="false" customHeight="false" outlineLevel="0" collapsed="false">
      <c r="A45" s="5" t="s">
        <v>598</v>
      </c>
      <c r="B45" s="5" t="s">
        <v>69</v>
      </c>
      <c r="C45" s="5" t="n">
        <v>1</v>
      </c>
      <c r="D45" s="5" t="s">
        <v>599</v>
      </c>
      <c r="E45" s="5" t="s">
        <v>600</v>
      </c>
      <c r="F45" s="5" t="n">
        <v>2023</v>
      </c>
      <c r="G45" s="5" t="s">
        <v>385</v>
      </c>
      <c r="H45" s="5" t="s">
        <v>601</v>
      </c>
      <c r="I45" s="5" t="s">
        <v>602</v>
      </c>
      <c r="J45" s="5" t="s">
        <v>388</v>
      </c>
      <c r="K45" s="5" t="s">
        <v>397</v>
      </c>
      <c r="L45" s="5" t="s">
        <v>390</v>
      </c>
      <c r="M45" s="5" t="s">
        <v>391</v>
      </c>
      <c r="N45" s="5" t="s">
        <v>392</v>
      </c>
      <c r="O45" s="5"/>
    </row>
    <row r="46" customFormat="false" ht="28.35" hidden="false" customHeight="false" outlineLevel="0" collapsed="false">
      <c r="A46" s="5" t="s">
        <v>603</v>
      </c>
      <c r="B46" s="5" t="s">
        <v>69</v>
      </c>
      <c r="C46" s="5" t="n">
        <v>1</v>
      </c>
      <c r="D46" s="5" t="s">
        <v>604</v>
      </c>
      <c r="E46" s="5" t="s">
        <v>605</v>
      </c>
      <c r="F46" s="5" t="n">
        <v>2023</v>
      </c>
      <c r="G46" s="5" t="s">
        <v>385</v>
      </c>
      <c r="H46" s="5" t="s">
        <v>606</v>
      </c>
      <c r="I46" s="5" t="s">
        <v>607</v>
      </c>
      <c r="J46" s="5" t="s">
        <v>388</v>
      </c>
      <c r="K46" s="5" t="s">
        <v>448</v>
      </c>
      <c r="L46" s="5" t="s">
        <v>390</v>
      </c>
      <c r="M46" s="5" t="s">
        <v>391</v>
      </c>
      <c r="N46" s="5" t="s">
        <v>392</v>
      </c>
      <c r="O46" s="5"/>
    </row>
    <row r="47" customFormat="false" ht="28.35" hidden="false" customHeight="false" outlineLevel="0" collapsed="false">
      <c r="A47" s="5" t="s">
        <v>608</v>
      </c>
      <c r="B47" s="5" t="s">
        <v>69</v>
      </c>
      <c r="C47" s="5" t="n">
        <v>1</v>
      </c>
      <c r="D47" s="5" t="s">
        <v>609</v>
      </c>
      <c r="E47" s="5" t="s">
        <v>610</v>
      </c>
      <c r="F47" s="5" t="n">
        <v>2023</v>
      </c>
      <c r="G47" s="5" t="s">
        <v>385</v>
      </c>
      <c r="H47" s="5" t="s">
        <v>233</v>
      </c>
      <c r="I47" s="5" t="s">
        <v>611</v>
      </c>
      <c r="J47" s="5" t="s">
        <v>388</v>
      </c>
      <c r="K47" s="5" t="s">
        <v>397</v>
      </c>
      <c r="L47" s="5" t="s">
        <v>390</v>
      </c>
      <c r="M47" s="5" t="s">
        <v>391</v>
      </c>
      <c r="N47" s="5" t="s">
        <v>392</v>
      </c>
      <c r="O47" s="5"/>
    </row>
    <row r="48" customFormat="false" ht="28.35" hidden="false" customHeight="false" outlineLevel="0" collapsed="false">
      <c r="A48" s="5" t="s">
        <v>612</v>
      </c>
      <c r="B48" s="5" t="s">
        <v>69</v>
      </c>
      <c r="C48" s="5" t="n">
        <v>1</v>
      </c>
      <c r="D48" s="5" t="s">
        <v>613</v>
      </c>
      <c r="E48" s="5" t="s">
        <v>614</v>
      </c>
      <c r="F48" s="5" t="n">
        <v>2020</v>
      </c>
      <c r="G48" s="5" t="s">
        <v>385</v>
      </c>
      <c r="H48" s="5" t="s">
        <v>615</v>
      </c>
      <c r="I48" s="5" t="s">
        <v>616</v>
      </c>
      <c r="J48" s="5" t="s">
        <v>388</v>
      </c>
      <c r="K48" s="5" t="s">
        <v>448</v>
      </c>
      <c r="L48" s="5" t="s">
        <v>390</v>
      </c>
      <c r="M48" s="5" t="s">
        <v>391</v>
      </c>
      <c r="N48" s="5" t="s">
        <v>392</v>
      </c>
      <c r="O48" s="5"/>
    </row>
    <row r="49" customFormat="false" ht="28.35" hidden="false" customHeight="false" outlineLevel="0" collapsed="false">
      <c r="A49" s="5" t="s">
        <v>617</v>
      </c>
      <c r="B49" s="5" t="s">
        <v>72</v>
      </c>
      <c r="C49" s="5" t="n">
        <v>1</v>
      </c>
      <c r="D49" s="5" t="s">
        <v>221</v>
      </c>
      <c r="E49" s="5" t="s">
        <v>222</v>
      </c>
      <c r="F49" s="5" t="n">
        <v>2022</v>
      </c>
      <c r="G49" s="5" t="s">
        <v>385</v>
      </c>
      <c r="H49" s="5" t="s">
        <v>223</v>
      </c>
      <c r="I49" s="5" t="s">
        <v>224</v>
      </c>
      <c r="J49" s="5" t="s">
        <v>463</v>
      </c>
      <c r="K49" s="5" t="s">
        <v>464</v>
      </c>
      <c r="L49" s="5" t="s">
        <v>465</v>
      </c>
      <c r="M49" s="5" t="s">
        <v>466</v>
      </c>
      <c r="N49" s="5" t="s">
        <v>405</v>
      </c>
      <c r="O49" s="5"/>
    </row>
    <row r="50" customFormat="false" ht="310.4" hidden="false" customHeight="false" outlineLevel="0" collapsed="false">
      <c r="A50" s="5" t="s">
        <v>618</v>
      </c>
      <c r="B50" s="5" t="s">
        <v>72</v>
      </c>
      <c r="C50" s="5" t="n">
        <v>1</v>
      </c>
      <c r="D50" s="5" t="s">
        <v>619</v>
      </c>
      <c r="E50" s="5" t="s">
        <v>620</v>
      </c>
      <c r="F50" s="5" t="n">
        <v>2021</v>
      </c>
      <c r="G50" s="5" t="s">
        <v>385</v>
      </c>
      <c r="H50" s="5" t="s">
        <v>453</v>
      </c>
      <c r="I50" s="5" t="s">
        <v>621</v>
      </c>
      <c r="J50" s="5" t="s">
        <v>388</v>
      </c>
      <c r="K50" s="5" t="s">
        <v>448</v>
      </c>
      <c r="L50" s="5" t="s">
        <v>390</v>
      </c>
      <c r="M50" s="5" t="s">
        <v>391</v>
      </c>
      <c r="N50" s="5" t="s">
        <v>405</v>
      </c>
      <c r="O50" s="5" t="s">
        <v>622</v>
      </c>
    </row>
    <row r="51" customFormat="false" ht="28.35" hidden="false" customHeight="false" outlineLevel="0" collapsed="false">
      <c r="A51" s="5" t="s">
        <v>623</v>
      </c>
      <c r="B51" s="5" t="s">
        <v>69</v>
      </c>
      <c r="C51" s="5" t="n">
        <v>1</v>
      </c>
      <c r="D51" s="5" t="s">
        <v>624</v>
      </c>
      <c r="E51" s="5" t="s">
        <v>625</v>
      </c>
      <c r="F51" s="5" t="n">
        <v>2023</v>
      </c>
      <c r="G51" s="5" t="s">
        <v>385</v>
      </c>
      <c r="H51" s="5" t="s">
        <v>626</v>
      </c>
      <c r="I51" s="5" t="s">
        <v>627</v>
      </c>
      <c r="J51" s="5" t="s">
        <v>388</v>
      </c>
      <c r="K51" s="5" t="s">
        <v>448</v>
      </c>
      <c r="L51" s="5" t="s">
        <v>390</v>
      </c>
      <c r="M51" s="5" t="s">
        <v>391</v>
      </c>
      <c r="N51" s="5" t="s">
        <v>392</v>
      </c>
      <c r="O51" s="5"/>
    </row>
    <row r="52" customFormat="false" ht="189.55" hidden="false" customHeight="false" outlineLevel="0" collapsed="false">
      <c r="A52" s="5" t="s">
        <v>628</v>
      </c>
      <c r="B52" s="5" t="s">
        <v>73</v>
      </c>
      <c r="C52" s="5" t="n">
        <v>1</v>
      </c>
      <c r="D52" s="5" t="s">
        <v>629</v>
      </c>
      <c r="E52" s="5" t="s">
        <v>630</v>
      </c>
      <c r="F52" s="5" t="n">
        <v>2024</v>
      </c>
      <c r="G52" s="5" t="s">
        <v>385</v>
      </c>
      <c r="H52" s="5" t="s">
        <v>228</v>
      </c>
      <c r="I52" s="5" t="s">
        <v>631</v>
      </c>
      <c r="J52" s="5" t="s">
        <v>388</v>
      </c>
      <c r="K52" s="5" t="s">
        <v>397</v>
      </c>
      <c r="L52" s="5" t="s">
        <v>390</v>
      </c>
      <c r="M52" s="5" t="s">
        <v>391</v>
      </c>
      <c r="N52" s="5" t="s">
        <v>398</v>
      </c>
      <c r="O52" s="5" t="s">
        <v>632</v>
      </c>
    </row>
    <row r="53" customFormat="false" ht="323.85" hidden="false" customHeight="false" outlineLevel="0" collapsed="false">
      <c r="A53" s="5" t="s">
        <v>633</v>
      </c>
      <c r="B53" s="5" t="s">
        <v>72</v>
      </c>
      <c r="C53" s="5" t="n">
        <v>1</v>
      </c>
      <c r="D53" s="5" t="s">
        <v>634</v>
      </c>
      <c r="E53" s="5" t="s">
        <v>635</v>
      </c>
      <c r="F53" s="5" t="n">
        <v>2024</v>
      </c>
      <c r="G53" s="5" t="s">
        <v>385</v>
      </c>
      <c r="H53" s="5" t="s">
        <v>636</v>
      </c>
      <c r="I53" s="5" t="s">
        <v>637</v>
      </c>
      <c r="J53" s="5" t="s">
        <v>388</v>
      </c>
      <c r="K53" s="5" t="s">
        <v>397</v>
      </c>
      <c r="L53" s="5" t="s">
        <v>390</v>
      </c>
      <c r="M53" s="5" t="s">
        <v>391</v>
      </c>
      <c r="N53" s="5" t="s">
        <v>405</v>
      </c>
      <c r="O53" s="5" t="s">
        <v>638</v>
      </c>
    </row>
    <row r="54" customFormat="false" ht="229.85" hidden="false" customHeight="false" outlineLevel="0" collapsed="false">
      <c r="A54" s="5" t="s">
        <v>639</v>
      </c>
      <c r="B54" s="5" t="s">
        <v>72</v>
      </c>
      <c r="C54" s="5" t="n">
        <v>1</v>
      </c>
      <c r="D54" s="5" t="s">
        <v>640</v>
      </c>
      <c r="E54" s="5" t="s">
        <v>641</v>
      </c>
      <c r="F54" s="5" t="n">
        <v>2021</v>
      </c>
      <c r="G54" s="5" t="s">
        <v>385</v>
      </c>
      <c r="H54" s="5" t="s">
        <v>453</v>
      </c>
      <c r="I54" s="5" t="s">
        <v>642</v>
      </c>
      <c r="J54" s="5" t="s">
        <v>388</v>
      </c>
      <c r="K54" s="5" t="s">
        <v>397</v>
      </c>
      <c r="L54" s="5" t="s">
        <v>390</v>
      </c>
      <c r="M54" s="5" t="s">
        <v>391</v>
      </c>
      <c r="N54" s="5" t="s">
        <v>405</v>
      </c>
      <c r="O54" s="5" t="s">
        <v>643</v>
      </c>
    </row>
    <row r="55" customFormat="false" ht="297" hidden="false" customHeight="false" outlineLevel="0" collapsed="false">
      <c r="A55" s="5" t="s">
        <v>644</v>
      </c>
      <c r="B55" s="5" t="s">
        <v>72</v>
      </c>
      <c r="C55" s="5" t="n">
        <v>1</v>
      </c>
      <c r="D55" s="5" t="s">
        <v>645</v>
      </c>
      <c r="E55" s="5" t="s">
        <v>646</v>
      </c>
      <c r="F55" s="5" t="n">
        <v>2025</v>
      </c>
      <c r="G55" s="5" t="s">
        <v>385</v>
      </c>
      <c r="H55" s="5" t="s">
        <v>276</v>
      </c>
      <c r="I55" s="5" t="s">
        <v>647</v>
      </c>
      <c r="J55" s="5" t="s">
        <v>388</v>
      </c>
      <c r="K55" s="5" t="s">
        <v>397</v>
      </c>
      <c r="L55" s="5" t="s">
        <v>390</v>
      </c>
      <c r="M55" s="5" t="s">
        <v>391</v>
      </c>
      <c r="N55" s="5" t="s">
        <v>405</v>
      </c>
      <c r="O55" s="5" t="s">
        <v>648</v>
      </c>
    </row>
    <row r="56" customFormat="false" ht="162.65" hidden="false" customHeight="false" outlineLevel="0" collapsed="false">
      <c r="A56" s="5" t="s">
        <v>649</v>
      </c>
      <c r="B56" s="5" t="s">
        <v>73</v>
      </c>
      <c r="C56" s="5" t="n">
        <v>1</v>
      </c>
      <c r="D56" s="5" t="s">
        <v>226</v>
      </c>
      <c r="E56" s="5" t="s">
        <v>227</v>
      </c>
      <c r="F56" s="5" t="n">
        <v>2022</v>
      </c>
      <c r="G56" s="5" t="s">
        <v>385</v>
      </c>
      <c r="H56" s="5" t="s">
        <v>228</v>
      </c>
      <c r="I56" s="5" t="s">
        <v>229</v>
      </c>
      <c r="J56" s="5" t="s">
        <v>463</v>
      </c>
      <c r="K56" s="5" t="s">
        <v>464</v>
      </c>
      <c r="L56" s="5" t="s">
        <v>465</v>
      </c>
      <c r="M56" s="5" t="s">
        <v>466</v>
      </c>
      <c r="N56" s="5" t="s">
        <v>398</v>
      </c>
      <c r="O56" s="5" t="s">
        <v>650</v>
      </c>
    </row>
    <row r="57" customFormat="false" ht="149.25" hidden="false" customHeight="false" outlineLevel="0" collapsed="false">
      <c r="A57" s="5" t="s">
        <v>651</v>
      </c>
      <c r="B57" s="5" t="s">
        <v>72</v>
      </c>
      <c r="C57" s="5" t="n">
        <v>1</v>
      </c>
      <c r="D57" s="5" t="s">
        <v>652</v>
      </c>
      <c r="E57" s="5" t="s">
        <v>653</v>
      </c>
      <c r="F57" s="5" t="n">
        <v>2024</v>
      </c>
      <c r="G57" s="5" t="s">
        <v>385</v>
      </c>
      <c r="H57" s="5" t="s">
        <v>654</v>
      </c>
      <c r="I57" s="5" t="s">
        <v>655</v>
      </c>
      <c r="J57" s="5" t="s">
        <v>388</v>
      </c>
      <c r="K57" s="5" t="s">
        <v>448</v>
      </c>
      <c r="L57" s="5" t="s">
        <v>390</v>
      </c>
      <c r="M57" s="5" t="s">
        <v>391</v>
      </c>
      <c r="N57" s="5" t="s">
        <v>405</v>
      </c>
      <c r="O57" s="5" t="s">
        <v>656</v>
      </c>
    </row>
    <row r="58" customFormat="false" ht="189.55" hidden="false" customHeight="false" outlineLevel="0" collapsed="false">
      <c r="A58" s="5" t="s">
        <v>657</v>
      </c>
      <c r="B58" s="5" t="s">
        <v>72</v>
      </c>
      <c r="C58" s="5" t="n">
        <v>1</v>
      </c>
      <c r="D58" s="5" t="s">
        <v>658</v>
      </c>
      <c r="E58" s="5" t="s">
        <v>659</v>
      </c>
      <c r="F58" s="5" t="n">
        <v>2024</v>
      </c>
      <c r="G58" s="5" t="s">
        <v>660</v>
      </c>
      <c r="H58" s="5" t="s">
        <v>661</v>
      </c>
      <c r="I58" s="5" t="s">
        <v>662</v>
      </c>
      <c r="J58" s="5" t="s">
        <v>388</v>
      </c>
      <c r="K58" s="5" t="s">
        <v>448</v>
      </c>
      <c r="L58" s="5" t="s">
        <v>390</v>
      </c>
      <c r="M58" s="5" t="s">
        <v>391</v>
      </c>
      <c r="N58" s="5" t="s">
        <v>405</v>
      </c>
      <c r="O58" s="5" t="s">
        <v>663</v>
      </c>
    </row>
    <row r="59" customFormat="false" ht="243.25" hidden="false" customHeight="false" outlineLevel="0" collapsed="false">
      <c r="A59" s="5" t="s">
        <v>664</v>
      </c>
      <c r="B59" s="5" t="s">
        <v>72</v>
      </c>
      <c r="C59" s="5" t="n">
        <v>1</v>
      </c>
      <c r="D59" s="5" t="s">
        <v>665</v>
      </c>
      <c r="E59" s="5" t="s">
        <v>666</v>
      </c>
      <c r="F59" s="5" t="n">
        <v>2025</v>
      </c>
      <c r="G59" s="5" t="s">
        <v>385</v>
      </c>
      <c r="H59" s="5" t="s">
        <v>667</v>
      </c>
      <c r="I59" s="5" t="s">
        <v>668</v>
      </c>
      <c r="J59" s="5" t="s">
        <v>388</v>
      </c>
      <c r="K59" s="5" t="s">
        <v>448</v>
      </c>
      <c r="L59" s="5" t="s">
        <v>390</v>
      </c>
      <c r="M59" s="5" t="s">
        <v>391</v>
      </c>
      <c r="N59" s="5" t="s">
        <v>405</v>
      </c>
      <c r="O59" s="5" t="s">
        <v>669</v>
      </c>
    </row>
    <row r="60" customFormat="false" ht="176.1" hidden="false" customHeight="false" outlineLevel="0" collapsed="false">
      <c r="A60" s="5" t="s">
        <v>670</v>
      </c>
      <c r="B60" s="5" t="s">
        <v>73</v>
      </c>
      <c r="C60" s="5" t="n">
        <v>1</v>
      </c>
      <c r="D60" s="5" t="s">
        <v>671</v>
      </c>
      <c r="E60" s="5" t="s">
        <v>672</v>
      </c>
      <c r="F60" s="5" t="n">
        <v>2026</v>
      </c>
      <c r="G60" s="5" t="s">
        <v>385</v>
      </c>
      <c r="H60" s="5" t="s">
        <v>673</v>
      </c>
      <c r="I60" s="5" t="s">
        <v>674</v>
      </c>
      <c r="J60" s="5" t="s">
        <v>388</v>
      </c>
      <c r="K60" s="5" t="s">
        <v>397</v>
      </c>
      <c r="L60" s="5" t="s">
        <v>390</v>
      </c>
      <c r="M60" s="5" t="s">
        <v>391</v>
      </c>
      <c r="N60" s="5" t="s">
        <v>398</v>
      </c>
      <c r="O60" s="5" t="s">
        <v>675</v>
      </c>
    </row>
    <row r="61" customFormat="false" ht="202.95" hidden="false" customHeight="false" outlineLevel="0" collapsed="false">
      <c r="A61" s="5" t="s">
        <v>676</v>
      </c>
      <c r="B61" s="5" t="s">
        <v>73</v>
      </c>
      <c r="C61" s="5" t="n">
        <v>1</v>
      </c>
      <c r="D61" s="5" t="s">
        <v>677</v>
      </c>
      <c r="E61" s="5" t="s">
        <v>678</v>
      </c>
      <c r="F61" s="5" t="n">
        <v>2024</v>
      </c>
      <c r="G61" s="5" t="s">
        <v>385</v>
      </c>
      <c r="H61" s="5" t="s">
        <v>228</v>
      </c>
      <c r="I61" s="5" t="s">
        <v>679</v>
      </c>
      <c r="J61" s="5" t="s">
        <v>388</v>
      </c>
      <c r="K61" s="5" t="s">
        <v>448</v>
      </c>
      <c r="L61" s="5" t="s">
        <v>390</v>
      </c>
      <c r="M61" s="5" t="s">
        <v>391</v>
      </c>
      <c r="N61" s="5" t="s">
        <v>398</v>
      </c>
      <c r="O61" s="5" t="s">
        <v>680</v>
      </c>
    </row>
    <row r="62" customFormat="false" ht="162.65" hidden="false" customHeight="false" outlineLevel="0" collapsed="false">
      <c r="A62" s="5" t="s">
        <v>681</v>
      </c>
      <c r="B62" s="5" t="s">
        <v>73</v>
      </c>
      <c r="C62" s="5" t="n">
        <v>1</v>
      </c>
      <c r="D62" s="5" t="s">
        <v>682</v>
      </c>
      <c r="E62" s="5" t="s">
        <v>683</v>
      </c>
      <c r="F62" s="5" t="n">
        <v>2024</v>
      </c>
      <c r="G62" s="5" t="s">
        <v>385</v>
      </c>
      <c r="H62" s="5" t="s">
        <v>228</v>
      </c>
      <c r="I62" s="5" t="s">
        <v>684</v>
      </c>
      <c r="J62" s="5" t="s">
        <v>388</v>
      </c>
      <c r="K62" s="5" t="s">
        <v>448</v>
      </c>
      <c r="L62" s="5" t="s">
        <v>390</v>
      </c>
      <c r="M62" s="5" t="s">
        <v>391</v>
      </c>
      <c r="N62" s="5" t="s">
        <v>398</v>
      </c>
      <c r="O62" s="5" t="s">
        <v>685</v>
      </c>
    </row>
    <row r="63" customFormat="false" ht="229.85" hidden="false" customHeight="false" outlineLevel="0" collapsed="false">
      <c r="A63" s="5" t="s">
        <v>686</v>
      </c>
      <c r="B63" s="5" t="s">
        <v>73</v>
      </c>
      <c r="C63" s="5" t="n">
        <v>1</v>
      </c>
      <c r="D63" s="5" t="s">
        <v>687</v>
      </c>
      <c r="E63" s="5" t="s">
        <v>688</v>
      </c>
      <c r="F63" s="5" t="n">
        <v>2025</v>
      </c>
      <c r="G63" s="5" t="s">
        <v>385</v>
      </c>
      <c r="H63" s="5" t="s">
        <v>228</v>
      </c>
      <c r="I63" s="5" t="s">
        <v>689</v>
      </c>
      <c r="J63" s="5" t="s">
        <v>388</v>
      </c>
      <c r="K63" s="5" t="s">
        <v>397</v>
      </c>
      <c r="L63" s="5" t="s">
        <v>390</v>
      </c>
      <c r="M63" s="5" t="s">
        <v>391</v>
      </c>
      <c r="N63" s="5" t="s">
        <v>398</v>
      </c>
      <c r="O63" s="5" t="s">
        <v>690</v>
      </c>
    </row>
    <row r="64" customFormat="false" ht="229.85" hidden="false" customHeight="false" outlineLevel="0" collapsed="false">
      <c r="A64" s="5" t="s">
        <v>691</v>
      </c>
      <c r="B64" s="5" t="s">
        <v>72</v>
      </c>
      <c r="C64" s="5" t="n">
        <v>1</v>
      </c>
      <c r="D64" s="5" t="s">
        <v>692</v>
      </c>
      <c r="E64" s="5" t="s">
        <v>693</v>
      </c>
      <c r="F64" s="5" t="n">
        <v>2024</v>
      </c>
      <c r="G64" s="5" t="s">
        <v>385</v>
      </c>
      <c r="H64" s="5" t="s">
        <v>249</v>
      </c>
      <c r="I64" s="5" t="s">
        <v>694</v>
      </c>
      <c r="J64" s="5" t="s">
        <v>388</v>
      </c>
      <c r="K64" s="5" t="s">
        <v>397</v>
      </c>
      <c r="L64" s="5" t="s">
        <v>390</v>
      </c>
      <c r="M64" s="5" t="s">
        <v>391</v>
      </c>
      <c r="N64" s="5" t="s">
        <v>405</v>
      </c>
      <c r="O64" s="5" t="s">
        <v>695</v>
      </c>
    </row>
    <row r="65" customFormat="false" ht="28.35" hidden="false" customHeight="false" outlineLevel="0" collapsed="false">
      <c r="A65" s="5" t="s">
        <v>696</v>
      </c>
      <c r="B65" s="5" t="s">
        <v>69</v>
      </c>
      <c r="C65" s="5" t="n">
        <v>1</v>
      </c>
      <c r="D65" s="5" t="s">
        <v>697</v>
      </c>
      <c r="E65" s="5" t="s">
        <v>698</v>
      </c>
      <c r="F65" s="5" t="n">
        <v>2015</v>
      </c>
      <c r="G65" s="5" t="s">
        <v>385</v>
      </c>
      <c r="H65" s="5" t="s">
        <v>459</v>
      </c>
      <c r="I65" s="5" t="s">
        <v>699</v>
      </c>
      <c r="J65" s="5" t="s">
        <v>388</v>
      </c>
      <c r="K65" s="5" t="s">
        <v>397</v>
      </c>
      <c r="L65" s="5" t="s">
        <v>390</v>
      </c>
      <c r="M65" s="5" t="s">
        <v>391</v>
      </c>
      <c r="N65" s="5" t="s">
        <v>392</v>
      </c>
      <c r="O65" s="5"/>
    </row>
    <row r="66" customFormat="false" ht="28.35" hidden="false" customHeight="false" outlineLevel="0" collapsed="false">
      <c r="A66" s="5" t="s">
        <v>700</v>
      </c>
      <c r="B66" s="5" t="s">
        <v>69</v>
      </c>
      <c r="C66" s="5" t="n">
        <v>1</v>
      </c>
      <c r="D66" s="5" t="s">
        <v>701</v>
      </c>
      <c r="E66" s="5" t="s">
        <v>702</v>
      </c>
      <c r="F66" s="5" t="n">
        <v>2021</v>
      </c>
      <c r="G66" s="5" t="s">
        <v>385</v>
      </c>
      <c r="H66" s="5" t="s">
        <v>703</v>
      </c>
      <c r="I66" s="5" t="s">
        <v>704</v>
      </c>
      <c r="J66" s="5" t="s">
        <v>388</v>
      </c>
      <c r="K66" s="5" t="s">
        <v>397</v>
      </c>
      <c r="L66" s="5" t="s">
        <v>390</v>
      </c>
      <c r="M66" s="5" t="s">
        <v>391</v>
      </c>
      <c r="N66" s="5" t="s">
        <v>392</v>
      </c>
      <c r="O66" s="5"/>
    </row>
    <row r="67" customFormat="false" ht="41.75" hidden="false" customHeight="false" outlineLevel="0" collapsed="false">
      <c r="A67" s="5" t="s">
        <v>705</v>
      </c>
      <c r="B67" s="5" t="s">
        <v>72</v>
      </c>
      <c r="C67" s="5" t="n">
        <v>1</v>
      </c>
      <c r="D67" s="5" t="s">
        <v>706</v>
      </c>
      <c r="E67" s="5" t="s">
        <v>707</v>
      </c>
      <c r="F67" s="5" t="n">
        <v>2025</v>
      </c>
      <c r="G67" s="5" t="s">
        <v>385</v>
      </c>
      <c r="H67" s="5" t="s">
        <v>276</v>
      </c>
      <c r="I67" s="5" t="s">
        <v>708</v>
      </c>
      <c r="J67" s="5" t="s">
        <v>388</v>
      </c>
      <c r="K67" s="5" t="s">
        <v>436</v>
      </c>
      <c r="L67" s="5" t="s">
        <v>390</v>
      </c>
      <c r="M67" s="5" t="s">
        <v>391</v>
      </c>
      <c r="N67" s="5" t="s">
        <v>405</v>
      </c>
      <c r="O67" s="5"/>
    </row>
    <row r="68" customFormat="false" ht="41.75" hidden="false" customHeight="false" outlineLevel="0" collapsed="false">
      <c r="A68" s="5" t="s">
        <v>709</v>
      </c>
      <c r="B68" s="5" t="s">
        <v>69</v>
      </c>
      <c r="C68" s="5" t="n">
        <v>1</v>
      </c>
      <c r="D68" s="5" t="s">
        <v>710</v>
      </c>
      <c r="E68" s="5" t="s">
        <v>711</v>
      </c>
      <c r="F68" s="5" t="n">
        <v>2023</v>
      </c>
      <c r="G68" s="5" t="s">
        <v>385</v>
      </c>
      <c r="H68" s="5" t="s">
        <v>703</v>
      </c>
      <c r="I68" s="5" t="s">
        <v>712</v>
      </c>
      <c r="J68" s="5" t="s">
        <v>388</v>
      </c>
      <c r="K68" s="5" t="s">
        <v>397</v>
      </c>
      <c r="L68" s="5" t="s">
        <v>390</v>
      </c>
      <c r="M68" s="5" t="s">
        <v>391</v>
      </c>
      <c r="N68" s="5" t="s">
        <v>392</v>
      </c>
      <c r="O68" s="5"/>
    </row>
    <row r="69" customFormat="false" ht="28.35" hidden="false" customHeight="false" outlineLevel="0" collapsed="false">
      <c r="A69" s="5" t="s">
        <v>713</v>
      </c>
      <c r="B69" s="5" t="s">
        <v>69</v>
      </c>
      <c r="C69" s="5" t="n">
        <v>1</v>
      </c>
      <c r="D69" s="5" t="s">
        <v>714</v>
      </c>
      <c r="E69" s="5" t="s">
        <v>715</v>
      </c>
      <c r="F69" s="5" t="n">
        <v>2024</v>
      </c>
      <c r="G69" s="5" t="s">
        <v>385</v>
      </c>
      <c r="H69" s="5" t="s">
        <v>716</v>
      </c>
      <c r="I69" s="5" t="s">
        <v>717</v>
      </c>
      <c r="J69" s="5" t="s">
        <v>388</v>
      </c>
      <c r="K69" s="5" t="s">
        <v>397</v>
      </c>
      <c r="L69" s="5" t="s">
        <v>390</v>
      </c>
      <c r="M69" s="5" t="s">
        <v>391</v>
      </c>
      <c r="N69" s="5" t="s">
        <v>392</v>
      </c>
      <c r="O69" s="5"/>
    </row>
    <row r="70" customFormat="false" ht="28.35" hidden="false" customHeight="false" outlineLevel="0" collapsed="false">
      <c r="A70" s="5" t="s">
        <v>718</v>
      </c>
      <c r="B70" s="5" t="s">
        <v>72</v>
      </c>
      <c r="C70" s="5" t="n">
        <v>1</v>
      </c>
      <c r="D70" s="5" t="s">
        <v>719</v>
      </c>
      <c r="E70" s="5" t="s">
        <v>720</v>
      </c>
      <c r="F70" s="5" t="n">
        <v>2020</v>
      </c>
      <c r="G70" s="5" t="s">
        <v>385</v>
      </c>
      <c r="H70" s="5" t="s">
        <v>721</v>
      </c>
      <c r="I70" s="5" t="s">
        <v>722</v>
      </c>
      <c r="J70" s="5" t="s">
        <v>388</v>
      </c>
      <c r="K70" s="5" t="s">
        <v>397</v>
      </c>
      <c r="L70" s="5" t="s">
        <v>390</v>
      </c>
      <c r="M70" s="5" t="s">
        <v>391</v>
      </c>
      <c r="N70" s="5" t="s">
        <v>405</v>
      </c>
      <c r="O70" s="5"/>
    </row>
    <row r="71" customFormat="false" ht="149.25" hidden="false" customHeight="false" outlineLevel="0" collapsed="false">
      <c r="A71" s="5" t="s">
        <v>723</v>
      </c>
      <c r="B71" s="5" t="s">
        <v>475</v>
      </c>
      <c r="C71" s="5" t="n">
        <v>2</v>
      </c>
      <c r="D71" s="5" t="s">
        <v>724</v>
      </c>
      <c r="E71" s="5" t="s">
        <v>725</v>
      </c>
      <c r="F71" s="5" t="n">
        <v>2023</v>
      </c>
      <c r="G71" s="5" t="s">
        <v>385</v>
      </c>
      <c r="H71" s="5" t="s">
        <v>726</v>
      </c>
      <c r="I71" s="5" t="s">
        <v>727</v>
      </c>
      <c r="J71" s="5" t="s">
        <v>388</v>
      </c>
      <c r="K71" s="5" t="s">
        <v>448</v>
      </c>
      <c r="L71" s="5" t="s">
        <v>390</v>
      </c>
      <c r="M71" s="5" t="s">
        <v>391</v>
      </c>
      <c r="N71" s="5" t="s">
        <v>476</v>
      </c>
      <c r="O71" s="5" t="s">
        <v>728</v>
      </c>
    </row>
    <row r="72" customFormat="false" ht="149.25" hidden="false" customHeight="false" outlineLevel="0" collapsed="false">
      <c r="A72" s="5" t="s">
        <v>729</v>
      </c>
      <c r="B72" s="5" t="s">
        <v>72</v>
      </c>
      <c r="C72" s="5" t="n">
        <v>1</v>
      </c>
      <c r="D72" s="5" t="s">
        <v>730</v>
      </c>
      <c r="E72" s="5" t="s">
        <v>731</v>
      </c>
      <c r="F72" s="5" t="n">
        <v>2025</v>
      </c>
      <c r="G72" s="5" t="s">
        <v>385</v>
      </c>
      <c r="H72" s="5" t="s">
        <v>732</v>
      </c>
      <c r="I72" s="5" t="s">
        <v>733</v>
      </c>
      <c r="J72" s="5" t="s">
        <v>388</v>
      </c>
      <c r="K72" s="5" t="s">
        <v>448</v>
      </c>
      <c r="L72" s="5" t="s">
        <v>390</v>
      </c>
      <c r="M72" s="5" t="s">
        <v>391</v>
      </c>
      <c r="N72" s="5" t="s">
        <v>405</v>
      </c>
      <c r="O72" s="5" t="s">
        <v>734</v>
      </c>
    </row>
    <row r="73" customFormat="false" ht="229.85" hidden="false" customHeight="false" outlineLevel="0" collapsed="false">
      <c r="A73" s="5" t="s">
        <v>735</v>
      </c>
      <c r="B73" s="5" t="s">
        <v>72</v>
      </c>
      <c r="C73" s="5" t="n">
        <v>1</v>
      </c>
      <c r="D73" s="5" t="s">
        <v>736</v>
      </c>
      <c r="E73" s="5" t="s">
        <v>737</v>
      </c>
      <c r="F73" s="5" t="n">
        <v>2025</v>
      </c>
      <c r="G73" s="5" t="s">
        <v>385</v>
      </c>
      <c r="H73" s="5" t="s">
        <v>453</v>
      </c>
      <c r="I73" s="5" t="s">
        <v>738</v>
      </c>
      <c r="J73" s="5" t="s">
        <v>388</v>
      </c>
      <c r="K73" s="5" t="s">
        <v>397</v>
      </c>
      <c r="L73" s="5" t="s">
        <v>390</v>
      </c>
      <c r="M73" s="5" t="s">
        <v>391</v>
      </c>
      <c r="N73" s="5" t="s">
        <v>405</v>
      </c>
      <c r="O73" s="5" t="s">
        <v>739</v>
      </c>
    </row>
    <row r="74" customFormat="false" ht="28.35" hidden="false" customHeight="false" outlineLevel="0" collapsed="false">
      <c r="A74" s="5" t="s">
        <v>740</v>
      </c>
      <c r="B74" s="5" t="s">
        <v>69</v>
      </c>
      <c r="C74" s="5" t="n">
        <v>1</v>
      </c>
      <c r="D74" s="5" t="s">
        <v>741</v>
      </c>
      <c r="E74" s="5" t="s">
        <v>742</v>
      </c>
      <c r="F74" s="5" t="n">
        <v>2024</v>
      </c>
      <c r="G74" s="5" t="s">
        <v>385</v>
      </c>
      <c r="H74" s="5" t="s">
        <v>743</v>
      </c>
      <c r="I74" s="5" t="s">
        <v>744</v>
      </c>
      <c r="J74" s="5" t="s">
        <v>388</v>
      </c>
      <c r="K74" s="5" t="s">
        <v>397</v>
      </c>
      <c r="L74" s="5" t="s">
        <v>390</v>
      </c>
      <c r="M74" s="5" t="s">
        <v>391</v>
      </c>
      <c r="N74" s="5" t="s">
        <v>392</v>
      </c>
      <c r="O74" s="5"/>
    </row>
    <row r="75" customFormat="false" ht="28.35" hidden="false" customHeight="false" outlineLevel="0" collapsed="false">
      <c r="A75" s="5" t="s">
        <v>745</v>
      </c>
      <c r="B75" s="5" t="s">
        <v>69</v>
      </c>
      <c r="C75" s="5" t="n">
        <v>1</v>
      </c>
      <c r="D75" s="5" t="s">
        <v>746</v>
      </c>
      <c r="E75" s="5" t="s">
        <v>747</v>
      </c>
      <c r="F75" s="5" t="n">
        <v>2021</v>
      </c>
      <c r="G75" s="5" t="s">
        <v>385</v>
      </c>
      <c r="H75" s="5" t="s">
        <v>748</v>
      </c>
      <c r="I75" s="5" t="s">
        <v>749</v>
      </c>
      <c r="J75" s="5" t="s">
        <v>388</v>
      </c>
      <c r="K75" s="5" t="s">
        <v>397</v>
      </c>
      <c r="L75" s="5" t="s">
        <v>390</v>
      </c>
      <c r="M75" s="5" t="s">
        <v>391</v>
      </c>
      <c r="N75" s="5" t="s">
        <v>392</v>
      </c>
      <c r="O75" s="5"/>
    </row>
    <row r="76" customFormat="false" ht="176.1" hidden="false" customHeight="false" outlineLevel="0" collapsed="false">
      <c r="A76" s="5" t="s">
        <v>750</v>
      </c>
      <c r="B76" s="5" t="s">
        <v>73</v>
      </c>
      <c r="C76" s="5" t="n">
        <v>1</v>
      </c>
      <c r="D76" s="5" t="s">
        <v>751</v>
      </c>
      <c r="E76" s="5" t="s">
        <v>752</v>
      </c>
      <c r="F76" s="5" t="n">
        <v>2021</v>
      </c>
      <c r="G76" s="5" t="s">
        <v>385</v>
      </c>
      <c r="H76" s="5" t="s">
        <v>228</v>
      </c>
      <c r="I76" s="5" t="s">
        <v>753</v>
      </c>
      <c r="J76" s="5" t="s">
        <v>388</v>
      </c>
      <c r="K76" s="5" t="s">
        <v>397</v>
      </c>
      <c r="L76" s="5" t="s">
        <v>390</v>
      </c>
      <c r="M76" s="5" t="s">
        <v>391</v>
      </c>
      <c r="N76" s="5" t="s">
        <v>398</v>
      </c>
      <c r="O76" s="5" t="s">
        <v>754</v>
      </c>
    </row>
    <row r="77" customFormat="false" ht="28.35" hidden="false" customHeight="false" outlineLevel="0" collapsed="false">
      <c r="A77" s="5" t="s">
        <v>755</v>
      </c>
      <c r="B77" s="5" t="s">
        <v>69</v>
      </c>
      <c r="C77" s="5" t="n">
        <v>1</v>
      </c>
      <c r="D77" s="5" t="s">
        <v>756</v>
      </c>
      <c r="E77" s="5" t="s">
        <v>757</v>
      </c>
      <c r="F77" s="5" t="n">
        <v>2024</v>
      </c>
      <c r="G77" s="5" t="s">
        <v>385</v>
      </c>
      <c r="H77" s="5" t="s">
        <v>254</v>
      </c>
      <c r="I77" s="5" t="s">
        <v>758</v>
      </c>
      <c r="J77" s="5" t="s">
        <v>388</v>
      </c>
      <c r="K77" s="5" t="s">
        <v>448</v>
      </c>
      <c r="L77" s="5" t="s">
        <v>390</v>
      </c>
      <c r="M77" s="5" t="s">
        <v>391</v>
      </c>
      <c r="N77" s="5" t="s">
        <v>392</v>
      </c>
      <c r="O77" s="5"/>
    </row>
    <row r="78" customFormat="false" ht="149.25" hidden="false" customHeight="false" outlineLevel="0" collapsed="false">
      <c r="A78" s="5" t="s">
        <v>759</v>
      </c>
      <c r="B78" s="5" t="s">
        <v>73</v>
      </c>
      <c r="C78" s="5" t="n">
        <v>1</v>
      </c>
      <c r="D78" s="5" t="s">
        <v>760</v>
      </c>
      <c r="E78" s="5" t="s">
        <v>761</v>
      </c>
      <c r="F78" s="5" t="n">
        <v>2024</v>
      </c>
      <c r="G78" s="5" t="s">
        <v>385</v>
      </c>
      <c r="H78" s="5" t="s">
        <v>762</v>
      </c>
      <c r="I78" s="5" t="s">
        <v>763</v>
      </c>
      <c r="J78" s="5" t="s">
        <v>388</v>
      </c>
      <c r="K78" s="5" t="s">
        <v>448</v>
      </c>
      <c r="L78" s="5" t="s">
        <v>390</v>
      </c>
      <c r="M78" s="5" t="s">
        <v>391</v>
      </c>
      <c r="N78" s="5" t="s">
        <v>398</v>
      </c>
      <c r="O78" s="5" t="s">
        <v>764</v>
      </c>
    </row>
    <row r="79" customFormat="false" ht="135.8" hidden="false" customHeight="false" outlineLevel="0" collapsed="false">
      <c r="A79" s="5" t="s">
        <v>765</v>
      </c>
      <c r="B79" s="5" t="s">
        <v>73</v>
      </c>
      <c r="C79" s="5" t="n">
        <v>1</v>
      </c>
      <c r="D79" s="5" t="s">
        <v>766</v>
      </c>
      <c r="E79" s="5" t="s">
        <v>767</v>
      </c>
      <c r="F79" s="5" t="n">
        <v>2020</v>
      </c>
      <c r="G79" s="5" t="s">
        <v>385</v>
      </c>
      <c r="H79" s="5" t="s">
        <v>673</v>
      </c>
      <c r="I79" s="5" t="s">
        <v>768</v>
      </c>
      <c r="J79" s="5" t="s">
        <v>388</v>
      </c>
      <c r="K79" s="5" t="s">
        <v>389</v>
      </c>
      <c r="L79" s="5" t="s">
        <v>390</v>
      </c>
      <c r="M79" s="5" t="s">
        <v>391</v>
      </c>
      <c r="N79" s="5" t="s">
        <v>398</v>
      </c>
      <c r="O79" s="5" t="s">
        <v>769</v>
      </c>
    </row>
    <row r="80" customFormat="false" ht="176.1" hidden="false" customHeight="false" outlineLevel="0" collapsed="false">
      <c r="A80" s="5" t="s">
        <v>770</v>
      </c>
      <c r="B80" s="5" t="s">
        <v>73</v>
      </c>
      <c r="C80" s="5" t="n">
        <v>1</v>
      </c>
      <c r="D80" s="5" t="s">
        <v>771</v>
      </c>
      <c r="E80" s="5" t="s">
        <v>772</v>
      </c>
      <c r="F80" s="5" t="n">
        <v>2024</v>
      </c>
      <c r="G80" s="5" t="s">
        <v>385</v>
      </c>
      <c r="H80" s="5" t="s">
        <v>773</v>
      </c>
      <c r="I80" s="5" t="s">
        <v>774</v>
      </c>
      <c r="J80" s="5" t="s">
        <v>388</v>
      </c>
      <c r="K80" s="5" t="s">
        <v>397</v>
      </c>
      <c r="L80" s="5" t="s">
        <v>390</v>
      </c>
      <c r="M80" s="5" t="s">
        <v>391</v>
      </c>
      <c r="N80" s="5" t="s">
        <v>398</v>
      </c>
      <c r="O80" s="5" t="s">
        <v>775</v>
      </c>
    </row>
    <row r="81" customFormat="false" ht="229.85" hidden="false" customHeight="false" outlineLevel="0" collapsed="false">
      <c r="A81" s="5" t="s">
        <v>776</v>
      </c>
      <c r="B81" s="5" t="s">
        <v>73</v>
      </c>
      <c r="C81" s="5" t="n">
        <v>1</v>
      </c>
      <c r="D81" s="5" t="s">
        <v>777</v>
      </c>
      <c r="E81" s="5" t="s">
        <v>778</v>
      </c>
      <c r="F81" s="5" t="n">
        <v>2025</v>
      </c>
      <c r="G81" s="5" t="s">
        <v>385</v>
      </c>
      <c r="H81" s="5" t="s">
        <v>228</v>
      </c>
      <c r="I81" s="5" t="s">
        <v>779</v>
      </c>
      <c r="J81" s="5" t="s">
        <v>388</v>
      </c>
      <c r="K81" s="5" t="s">
        <v>397</v>
      </c>
      <c r="L81" s="5" t="s">
        <v>390</v>
      </c>
      <c r="M81" s="5" t="s">
        <v>391</v>
      </c>
      <c r="N81" s="5" t="s">
        <v>398</v>
      </c>
      <c r="O81" s="5" t="s">
        <v>780</v>
      </c>
    </row>
    <row r="82" customFormat="false" ht="28.35" hidden="false" customHeight="false" outlineLevel="0" collapsed="false">
      <c r="A82" s="5" t="s">
        <v>781</v>
      </c>
      <c r="B82" s="5" t="s">
        <v>69</v>
      </c>
      <c r="C82" s="5" t="n">
        <v>1</v>
      </c>
      <c r="D82" s="5" t="s">
        <v>782</v>
      </c>
      <c r="E82" s="5" t="s">
        <v>783</v>
      </c>
      <c r="F82" s="5" t="n">
        <v>2021</v>
      </c>
      <c r="G82" s="5" t="s">
        <v>385</v>
      </c>
      <c r="H82" s="5" t="s">
        <v>254</v>
      </c>
      <c r="I82" s="5" t="s">
        <v>784</v>
      </c>
      <c r="J82" s="5" t="s">
        <v>388</v>
      </c>
      <c r="K82" s="5" t="s">
        <v>397</v>
      </c>
      <c r="L82" s="5" t="s">
        <v>390</v>
      </c>
      <c r="M82" s="5" t="s">
        <v>391</v>
      </c>
      <c r="N82" s="5" t="s">
        <v>392</v>
      </c>
      <c r="O82" s="5"/>
    </row>
    <row r="83" customFormat="false" ht="28.35" hidden="false" customHeight="false" outlineLevel="0" collapsed="false">
      <c r="A83" s="5" t="s">
        <v>785</v>
      </c>
      <c r="B83" s="5" t="s">
        <v>72</v>
      </c>
      <c r="C83" s="5" t="n">
        <v>1</v>
      </c>
      <c r="D83" s="5" t="s">
        <v>247</v>
      </c>
      <c r="E83" s="5" t="s">
        <v>248</v>
      </c>
      <c r="F83" s="5" t="n">
        <v>2023</v>
      </c>
      <c r="G83" s="5" t="s">
        <v>385</v>
      </c>
      <c r="H83" s="5" t="s">
        <v>249</v>
      </c>
      <c r="I83" s="5" t="s">
        <v>250</v>
      </c>
      <c r="J83" s="5" t="s">
        <v>463</v>
      </c>
      <c r="K83" s="5" t="s">
        <v>464</v>
      </c>
      <c r="L83" s="5" t="s">
        <v>465</v>
      </c>
      <c r="M83" s="5" t="s">
        <v>466</v>
      </c>
      <c r="N83" s="5" t="s">
        <v>405</v>
      </c>
      <c r="O83" s="5"/>
    </row>
    <row r="84" customFormat="false" ht="202.95" hidden="false" customHeight="false" outlineLevel="0" collapsed="false">
      <c r="A84" s="5" t="s">
        <v>786</v>
      </c>
      <c r="B84" s="5" t="s">
        <v>475</v>
      </c>
      <c r="C84" s="5" t="n">
        <v>2</v>
      </c>
      <c r="D84" s="5" t="s">
        <v>787</v>
      </c>
      <c r="E84" s="5" t="s">
        <v>788</v>
      </c>
      <c r="F84" s="5" t="n">
        <v>2023</v>
      </c>
      <c r="G84" s="5" t="s">
        <v>385</v>
      </c>
      <c r="H84" s="5" t="s">
        <v>453</v>
      </c>
      <c r="I84" s="5" t="s">
        <v>789</v>
      </c>
      <c r="J84" s="5" t="s">
        <v>388</v>
      </c>
      <c r="K84" s="5" t="s">
        <v>397</v>
      </c>
      <c r="L84" s="5" t="s">
        <v>390</v>
      </c>
      <c r="M84" s="5" t="s">
        <v>391</v>
      </c>
      <c r="N84" s="5" t="s">
        <v>476</v>
      </c>
      <c r="O84" s="5" t="s">
        <v>790</v>
      </c>
    </row>
    <row r="85" customFormat="false" ht="189.55" hidden="false" customHeight="false" outlineLevel="0" collapsed="false">
      <c r="A85" s="5" t="s">
        <v>791</v>
      </c>
      <c r="B85" s="5" t="s">
        <v>72</v>
      </c>
      <c r="C85" s="5" t="n">
        <v>1</v>
      </c>
      <c r="D85" s="5" t="s">
        <v>792</v>
      </c>
      <c r="E85" s="5" t="s">
        <v>793</v>
      </c>
      <c r="F85" s="5" t="n">
        <v>2024</v>
      </c>
      <c r="G85" s="5" t="s">
        <v>385</v>
      </c>
      <c r="H85" s="5" t="s">
        <v>726</v>
      </c>
      <c r="I85" s="5" t="s">
        <v>794</v>
      </c>
      <c r="J85" s="5" t="s">
        <v>388</v>
      </c>
      <c r="K85" s="5" t="s">
        <v>448</v>
      </c>
      <c r="L85" s="5" t="s">
        <v>390</v>
      </c>
      <c r="M85" s="5" t="s">
        <v>391</v>
      </c>
      <c r="N85" s="5" t="s">
        <v>405</v>
      </c>
      <c r="O85" s="5" t="s">
        <v>795</v>
      </c>
    </row>
    <row r="86" customFormat="false" ht="202.95" hidden="false" customHeight="false" outlineLevel="0" collapsed="false">
      <c r="A86" s="5" t="s">
        <v>796</v>
      </c>
      <c r="B86" s="5" t="s">
        <v>73</v>
      </c>
      <c r="C86" s="5" t="n">
        <v>1</v>
      </c>
      <c r="D86" s="5" t="s">
        <v>797</v>
      </c>
      <c r="E86" s="5" t="s">
        <v>798</v>
      </c>
      <c r="F86" s="5" t="n">
        <v>2023</v>
      </c>
      <c r="G86" s="5" t="s">
        <v>385</v>
      </c>
      <c r="H86" s="5" t="s">
        <v>673</v>
      </c>
      <c r="I86" s="5" t="s">
        <v>799</v>
      </c>
      <c r="J86" s="5" t="s">
        <v>388</v>
      </c>
      <c r="K86" s="5" t="s">
        <v>397</v>
      </c>
      <c r="L86" s="5" t="s">
        <v>390</v>
      </c>
      <c r="M86" s="5" t="s">
        <v>391</v>
      </c>
      <c r="N86" s="5" t="s">
        <v>398</v>
      </c>
      <c r="O86" s="5" t="s">
        <v>800</v>
      </c>
    </row>
    <row r="87" customFormat="false" ht="28.35" hidden="false" customHeight="false" outlineLevel="0" collapsed="false">
      <c r="A87" s="5" t="s">
        <v>801</v>
      </c>
      <c r="B87" s="5" t="s">
        <v>69</v>
      </c>
      <c r="C87" s="5" t="n">
        <v>1</v>
      </c>
      <c r="D87" s="5" t="s">
        <v>802</v>
      </c>
      <c r="E87" s="5" t="s">
        <v>803</v>
      </c>
      <c r="F87" s="5" t="n">
        <v>2024</v>
      </c>
      <c r="G87" s="5" t="s">
        <v>385</v>
      </c>
      <c r="H87" s="5" t="s">
        <v>804</v>
      </c>
      <c r="I87" s="5" t="s">
        <v>805</v>
      </c>
      <c r="J87" s="5" t="s">
        <v>388</v>
      </c>
      <c r="K87" s="5" t="s">
        <v>448</v>
      </c>
      <c r="L87" s="5" t="s">
        <v>390</v>
      </c>
      <c r="M87" s="5" t="s">
        <v>391</v>
      </c>
      <c r="N87" s="5" t="s">
        <v>392</v>
      </c>
      <c r="O87" s="5"/>
    </row>
    <row r="88" customFormat="false" ht="135.8" hidden="false" customHeight="false" outlineLevel="0" collapsed="false">
      <c r="A88" s="5" t="s">
        <v>806</v>
      </c>
      <c r="B88" s="5" t="s">
        <v>73</v>
      </c>
      <c r="C88" s="5" t="n">
        <v>1</v>
      </c>
      <c r="D88" s="5" t="s">
        <v>807</v>
      </c>
      <c r="E88" s="5" t="s">
        <v>808</v>
      </c>
      <c r="F88" s="5" t="n">
        <v>2024</v>
      </c>
      <c r="G88" s="5" t="s">
        <v>385</v>
      </c>
      <c r="H88" s="5" t="s">
        <v>809</v>
      </c>
      <c r="I88" s="5" t="s">
        <v>810</v>
      </c>
      <c r="J88" s="5" t="s">
        <v>388</v>
      </c>
      <c r="K88" s="5" t="s">
        <v>397</v>
      </c>
      <c r="L88" s="5" t="s">
        <v>390</v>
      </c>
      <c r="M88" s="5" t="s">
        <v>391</v>
      </c>
      <c r="N88" s="5" t="s">
        <v>398</v>
      </c>
      <c r="O88" s="5" t="s">
        <v>811</v>
      </c>
    </row>
    <row r="89" customFormat="false" ht="135.8" hidden="false" customHeight="false" outlineLevel="0" collapsed="false">
      <c r="A89" s="5" t="s">
        <v>812</v>
      </c>
      <c r="B89" s="5" t="s">
        <v>73</v>
      </c>
      <c r="C89" s="5" t="n">
        <v>1</v>
      </c>
      <c r="D89" s="5" t="s">
        <v>813</v>
      </c>
      <c r="E89" s="5" t="s">
        <v>814</v>
      </c>
      <c r="F89" s="5" t="n">
        <v>2026</v>
      </c>
      <c r="G89" s="5" t="s">
        <v>385</v>
      </c>
      <c r="H89" s="5" t="s">
        <v>228</v>
      </c>
      <c r="I89" s="5" t="s">
        <v>815</v>
      </c>
      <c r="J89" s="5" t="s">
        <v>388</v>
      </c>
      <c r="K89" s="5" t="s">
        <v>397</v>
      </c>
      <c r="L89" s="5" t="s">
        <v>390</v>
      </c>
      <c r="M89" s="5" t="s">
        <v>391</v>
      </c>
      <c r="N89" s="5" t="s">
        <v>398</v>
      </c>
      <c r="O89" s="5" t="s">
        <v>816</v>
      </c>
    </row>
    <row r="90" customFormat="false" ht="28.35" hidden="false" customHeight="false" outlineLevel="0" collapsed="false">
      <c r="A90" s="5" t="s">
        <v>817</v>
      </c>
      <c r="B90" s="5" t="s">
        <v>69</v>
      </c>
      <c r="C90" s="5" t="n">
        <v>1</v>
      </c>
      <c r="D90" s="5" t="s">
        <v>818</v>
      </c>
      <c r="E90" s="5" t="s">
        <v>819</v>
      </c>
      <c r="F90" s="5" t="n">
        <v>2023</v>
      </c>
      <c r="G90" s="5" t="s">
        <v>385</v>
      </c>
      <c r="H90" s="5" t="s">
        <v>233</v>
      </c>
      <c r="I90" s="5" t="s">
        <v>820</v>
      </c>
      <c r="J90" s="5" t="s">
        <v>388</v>
      </c>
      <c r="K90" s="5" t="s">
        <v>448</v>
      </c>
      <c r="L90" s="5" t="s">
        <v>390</v>
      </c>
      <c r="M90" s="5" t="s">
        <v>391</v>
      </c>
      <c r="N90" s="5" t="s">
        <v>392</v>
      </c>
      <c r="O90" s="5"/>
    </row>
    <row r="91" customFormat="false" ht="176.1" hidden="false" customHeight="false" outlineLevel="0" collapsed="false">
      <c r="A91" s="5" t="s">
        <v>821</v>
      </c>
      <c r="B91" s="5" t="s">
        <v>73</v>
      </c>
      <c r="C91" s="5" t="n">
        <v>1</v>
      </c>
      <c r="D91" s="5" t="s">
        <v>822</v>
      </c>
      <c r="E91" s="5" t="s">
        <v>823</v>
      </c>
      <c r="F91" s="5" t="n">
        <v>2025</v>
      </c>
      <c r="G91" s="5" t="s">
        <v>385</v>
      </c>
      <c r="H91" s="5" t="s">
        <v>228</v>
      </c>
      <c r="I91" s="5" t="s">
        <v>824</v>
      </c>
      <c r="J91" s="5" t="s">
        <v>388</v>
      </c>
      <c r="K91" s="5" t="s">
        <v>397</v>
      </c>
      <c r="L91" s="5" t="s">
        <v>390</v>
      </c>
      <c r="M91" s="5" t="s">
        <v>391</v>
      </c>
      <c r="N91" s="5" t="s">
        <v>398</v>
      </c>
      <c r="O91" s="5" t="s">
        <v>825</v>
      </c>
    </row>
    <row r="92" customFormat="false" ht="149.25" hidden="false" customHeight="false" outlineLevel="0" collapsed="false">
      <c r="A92" s="5" t="s">
        <v>826</v>
      </c>
      <c r="B92" s="5" t="s">
        <v>73</v>
      </c>
      <c r="C92" s="5" t="n">
        <v>1</v>
      </c>
      <c r="D92" s="5" t="s">
        <v>827</v>
      </c>
      <c r="E92" s="5" t="s">
        <v>828</v>
      </c>
      <c r="F92" s="5" t="n">
        <v>2025</v>
      </c>
      <c r="G92" s="5" t="s">
        <v>385</v>
      </c>
      <c r="H92" s="5" t="s">
        <v>829</v>
      </c>
      <c r="I92" s="5" t="s">
        <v>830</v>
      </c>
      <c r="J92" s="5" t="s">
        <v>388</v>
      </c>
      <c r="K92" s="5" t="s">
        <v>448</v>
      </c>
      <c r="L92" s="5" t="s">
        <v>390</v>
      </c>
      <c r="M92" s="5" t="s">
        <v>391</v>
      </c>
      <c r="N92" s="5" t="s">
        <v>398</v>
      </c>
      <c r="O92" s="5" t="s">
        <v>831</v>
      </c>
    </row>
    <row r="93" customFormat="false" ht="28.35" hidden="false" customHeight="false" outlineLevel="0" collapsed="false">
      <c r="A93" s="5" t="s">
        <v>832</v>
      </c>
      <c r="B93" s="5" t="s">
        <v>69</v>
      </c>
      <c r="C93" s="5" t="n">
        <v>1</v>
      </c>
      <c r="D93" s="5" t="s">
        <v>833</v>
      </c>
      <c r="E93" s="5" t="s">
        <v>834</v>
      </c>
      <c r="F93" s="5" t="n">
        <v>2024</v>
      </c>
      <c r="G93" s="5" t="s">
        <v>385</v>
      </c>
      <c r="H93" s="5" t="s">
        <v>835</v>
      </c>
      <c r="I93" s="5" t="s">
        <v>836</v>
      </c>
      <c r="J93" s="5" t="s">
        <v>388</v>
      </c>
      <c r="K93" s="5" t="s">
        <v>448</v>
      </c>
      <c r="L93" s="5" t="s">
        <v>390</v>
      </c>
      <c r="M93" s="5" t="s">
        <v>391</v>
      </c>
      <c r="N93" s="5" t="s">
        <v>392</v>
      </c>
      <c r="O93" s="5"/>
    </row>
    <row r="94" customFormat="false" ht="256.7" hidden="false" customHeight="false" outlineLevel="0" collapsed="false">
      <c r="A94" s="5" t="s">
        <v>837</v>
      </c>
      <c r="B94" s="5" t="s">
        <v>73</v>
      </c>
      <c r="C94" s="5" t="n">
        <v>1</v>
      </c>
      <c r="D94" s="5" t="s">
        <v>838</v>
      </c>
      <c r="E94" s="5" t="s">
        <v>839</v>
      </c>
      <c r="F94" s="5" t="n">
        <v>2021</v>
      </c>
      <c r="G94" s="5" t="s">
        <v>385</v>
      </c>
      <c r="H94" s="5" t="s">
        <v>228</v>
      </c>
      <c r="I94" s="5" t="s">
        <v>840</v>
      </c>
      <c r="J94" s="5" t="s">
        <v>388</v>
      </c>
      <c r="K94" s="5" t="s">
        <v>397</v>
      </c>
      <c r="L94" s="5" t="s">
        <v>390</v>
      </c>
      <c r="M94" s="5" t="s">
        <v>391</v>
      </c>
      <c r="N94" s="5" t="s">
        <v>398</v>
      </c>
      <c r="O94" s="5" t="s">
        <v>841</v>
      </c>
    </row>
    <row r="95" customFormat="false" ht="176.1" hidden="false" customHeight="false" outlineLevel="0" collapsed="false">
      <c r="A95" s="5" t="s">
        <v>842</v>
      </c>
      <c r="B95" s="5" t="s">
        <v>73</v>
      </c>
      <c r="C95" s="5" t="n">
        <v>1</v>
      </c>
      <c r="D95" s="5" t="s">
        <v>843</v>
      </c>
      <c r="E95" s="5" t="s">
        <v>844</v>
      </c>
      <c r="F95" s="5" t="n">
        <v>2019</v>
      </c>
      <c r="G95" s="5" t="s">
        <v>385</v>
      </c>
      <c r="H95" s="5" t="s">
        <v>845</v>
      </c>
      <c r="I95" s="5" t="s">
        <v>846</v>
      </c>
      <c r="J95" s="5" t="s">
        <v>388</v>
      </c>
      <c r="K95" s="5" t="s">
        <v>397</v>
      </c>
      <c r="L95" s="5" t="s">
        <v>390</v>
      </c>
      <c r="M95" s="5" t="s">
        <v>391</v>
      </c>
      <c r="N95" s="5" t="s">
        <v>398</v>
      </c>
      <c r="O95" s="5" t="s">
        <v>847</v>
      </c>
    </row>
    <row r="96" customFormat="false" ht="28.35" hidden="false" customHeight="false" outlineLevel="0" collapsed="false">
      <c r="A96" s="5" t="s">
        <v>848</v>
      </c>
      <c r="B96" s="5" t="s">
        <v>475</v>
      </c>
      <c r="C96" s="5" t="n">
        <v>2</v>
      </c>
      <c r="D96" s="5" t="s">
        <v>849</v>
      </c>
      <c r="E96" s="5" t="s">
        <v>850</v>
      </c>
      <c r="F96" s="5" t="n">
        <v>2023</v>
      </c>
      <c r="G96" s="5" t="s">
        <v>385</v>
      </c>
      <c r="H96" s="5" t="s">
        <v>453</v>
      </c>
      <c r="I96" s="5" t="s">
        <v>851</v>
      </c>
      <c r="J96" s="5" t="s">
        <v>388</v>
      </c>
      <c r="K96" s="5" t="s">
        <v>397</v>
      </c>
      <c r="L96" s="5" t="s">
        <v>390</v>
      </c>
      <c r="M96" s="5" t="s">
        <v>391</v>
      </c>
      <c r="N96" s="5" t="s">
        <v>476</v>
      </c>
      <c r="O96" s="5"/>
    </row>
    <row r="97" customFormat="false" ht="216.4" hidden="false" customHeight="false" outlineLevel="0" collapsed="false">
      <c r="A97" s="5" t="s">
        <v>852</v>
      </c>
      <c r="B97" s="5" t="s">
        <v>72</v>
      </c>
      <c r="C97" s="5" t="n">
        <v>1</v>
      </c>
      <c r="D97" s="5" t="s">
        <v>853</v>
      </c>
      <c r="E97" s="5" t="s">
        <v>854</v>
      </c>
      <c r="F97" s="5" t="n">
        <v>2025</v>
      </c>
      <c r="G97" s="5" t="s">
        <v>385</v>
      </c>
      <c r="H97" s="5" t="s">
        <v>855</v>
      </c>
      <c r="I97" s="5" t="s">
        <v>856</v>
      </c>
      <c r="J97" s="5" t="s">
        <v>388</v>
      </c>
      <c r="K97" s="5" t="s">
        <v>448</v>
      </c>
      <c r="L97" s="5" t="s">
        <v>390</v>
      </c>
      <c r="M97" s="5" t="s">
        <v>391</v>
      </c>
      <c r="N97" s="5" t="s">
        <v>405</v>
      </c>
      <c r="O97" s="5" t="s">
        <v>857</v>
      </c>
    </row>
    <row r="98" customFormat="false" ht="149.25" hidden="false" customHeight="false" outlineLevel="0" collapsed="false">
      <c r="A98" s="5" t="s">
        <v>858</v>
      </c>
      <c r="B98" s="5" t="s">
        <v>73</v>
      </c>
      <c r="C98" s="5" t="n">
        <v>1</v>
      </c>
      <c r="D98" s="5" t="s">
        <v>859</v>
      </c>
      <c r="E98" s="5" t="s">
        <v>860</v>
      </c>
      <c r="F98" s="5" t="n">
        <v>2024</v>
      </c>
      <c r="G98" s="5" t="s">
        <v>385</v>
      </c>
      <c r="H98" s="5" t="s">
        <v>228</v>
      </c>
      <c r="I98" s="5" t="s">
        <v>861</v>
      </c>
      <c r="J98" s="5" t="s">
        <v>388</v>
      </c>
      <c r="K98" s="5" t="s">
        <v>448</v>
      </c>
      <c r="L98" s="5" t="s">
        <v>390</v>
      </c>
      <c r="M98" s="5" t="s">
        <v>391</v>
      </c>
      <c r="N98" s="5" t="s">
        <v>398</v>
      </c>
      <c r="O98" s="5" t="s">
        <v>862</v>
      </c>
    </row>
    <row r="99" customFormat="false" ht="202.95" hidden="false" customHeight="false" outlineLevel="0" collapsed="false">
      <c r="A99" s="5" t="s">
        <v>863</v>
      </c>
      <c r="B99" s="5" t="s">
        <v>73</v>
      </c>
      <c r="C99" s="5" t="n">
        <v>1</v>
      </c>
      <c r="D99" s="5" t="s">
        <v>864</v>
      </c>
      <c r="E99" s="5" t="s">
        <v>865</v>
      </c>
      <c r="F99" s="5" t="n">
        <v>2024</v>
      </c>
      <c r="G99" s="5" t="s">
        <v>385</v>
      </c>
      <c r="H99" s="5" t="s">
        <v>228</v>
      </c>
      <c r="I99" s="5" t="s">
        <v>866</v>
      </c>
      <c r="J99" s="5" t="s">
        <v>388</v>
      </c>
      <c r="K99" s="5" t="s">
        <v>448</v>
      </c>
      <c r="L99" s="5" t="s">
        <v>390</v>
      </c>
      <c r="M99" s="5" t="s">
        <v>391</v>
      </c>
      <c r="N99" s="5" t="s">
        <v>398</v>
      </c>
      <c r="O99" s="5" t="s">
        <v>867</v>
      </c>
    </row>
    <row r="100" customFormat="false" ht="176.1" hidden="false" customHeight="false" outlineLevel="0" collapsed="false">
      <c r="A100" s="5" t="s">
        <v>868</v>
      </c>
      <c r="B100" s="5" t="s">
        <v>72</v>
      </c>
      <c r="C100" s="5" t="n">
        <v>1</v>
      </c>
      <c r="D100" s="5" t="s">
        <v>869</v>
      </c>
      <c r="E100" s="5" t="s">
        <v>870</v>
      </c>
      <c r="F100" s="5" t="n">
        <v>2025</v>
      </c>
      <c r="G100" s="5" t="s">
        <v>385</v>
      </c>
      <c r="H100" s="5" t="s">
        <v>855</v>
      </c>
      <c r="I100" s="5" t="s">
        <v>871</v>
      </c>
      <c r="J100" s="5" t="s">
        <v>388</v>
      </c>
      <c r="K100" s="5" t="s">
        <v>397</v>
      </c>
      <c r="L100" s="5" t="s">
        <v>390</v>
      </c>
      <c r="M100" s="5" t="s">
        <v>391</v>
      </c>
      <c r="N100" s="5" t="s">
        <v>405</v>
      </c>
      <c r="O100" s="5" t="s">
        <v>872</v>
      </c>
    </row>
    <row r="101" customFormat="false" ht="149.25" hidden="false" customHeight="false" outlineLevel="0" collapsed="false">
      <c r="A101" s="5" t="s">
        <v>873</v>
      </c>
      <c r="B101" s="5" t="s">
        <v>72</v>
      </c>
      <c r="C101" s="5" t="n">
        <v>1</v>
      </c>
      <c r="D101" s="5" t="s">
        <v>874</v>
      </c>
      <c r="E101" s="5" t="s">
        <v>875</v>
      </c>
      <c r="F101" s="5" t="n">
        <v>2024</v>
      </c>
      <c r="G101" s="5" t="s">
        <v>385</v>
      </c>
      <c r="H101" s="5" t="s">
        <v>654</v>
      </c>
      <c r="I101" s="5" t="s">
        <v>876</v>
      </c>
      <c r="J101" s="5" t="s">
        <v>388</v>
      </c>
      <c r="K101" s="5" t="s">
        <v>448</v>
      </c>
      <c r="L101" s="5" t="s">
        <v>390</v>
      </c>
      <c r="M101" s="5" t="s">
        <v>391</v>
      </c>
      <c r="N101" s="5" t="s">
        <v>405</v>
      </c>
      <c r="O101" s="5" t="s">
        <v>877</v>
      </c>
    </row>
    <row r="102" customFormat="false" ht="216.4" hidden="false" customHeight="false" outlineLevel="0" collapsed="false">
      <c r="A102" s="5" t="s">
        <v>878</v>
      </c>
      <c r="B102" s="5" t="s">
        <v>73</v>
      </c>
      <c r="C102" s="5" t="n">
        <v>1</v>
      </c>
      <c r="D102" s="5" t="s">
        <v>879</v>
      </c>
      <c r="E102" s="5" t="s">
        <v>880</v>
      </c>
      <c r="F102" s="5" t="n">
        <v>2023</v>
      </c>
      <c r="G102" s="5" t="s">
        <v>385</v>
      </c>
      <c r="H102" s="5" t="s">
        <v>228</v>
      </c>
      <c r="I102" s="5" t="s">
        <v>881</v>
      </c>
      <c r="J102" s="5" t="s">
        <v>388</v>
      </c>
      <c r="K102" s="5" t="s">
        <v>397</v>
      </c>
      <c r="L102" s="5" t="s">
        <v>390</v>
      </c>
      <c r="M102" s="5" t="s">
        <v>391</v>
      </c>
      <c r="N102" s="5" t="s">
        <v>398</v>
      </c>
      <c r="O102" s="5" t="s">
        <v>882</v>
      </c>
    </row>
    <row r="103" customFormat="false" ht="283.55" hidden="false" customHeight="false" outlineLevel="0" collapsed="false">
      <c r="A103" s="5" t="s">
        <v>883</v>
      </c>
      <c r="B103" s="5" t="s">
        <v>72</v>
      </c>
      <c r="C103" s="5" t="n">
        <v>1</v>
      </c>
      <c r="D103" s="5" t="s">
        <v>884</v>
      </c>
      <c r="E103" s="5" t="s">
        <v>885</v>
      </c>
      <c r="F103" s="5" t="n">
        <v>2025</v>
      </c>
      <c r="G103" s="5" t="s">
        <v>385</v>
      </c>
      <c r="H103" s="5" t="s">
        <v>886</v>
      </c>
      <c r="I103" s="5" t="s">
        <v>887</v>
      </c>
      <c r="J103" s="5" t="s">
        <v>388</v>
      </c>
      <c r="K103" s="5" t="s">
        <v>448</v>
      </c>
      <c r="L103" s="5" t="s">
        <v>390</v>
      </c>
      <c r="M103" s="5" t="s">
        <v>391</v>
      </c>
      <c r="N103" s="5" t="s">
        <v>405</v>
      </c>
      <c r="O103" s="5" t="s">
        <v>888</v>
      </c>
    </row>
    <row r="104" customFormat="false" ht="149.25" hidden="false" customHeight="false" outlineLevel="0" collapsed="false">
      <c r="A104" s="5" t="s">
        <v>889</v>
      </c>
      <c r="B104" s="5" t="s">
        <v>73</v>
      </c>
      <c r="C104" s="5" t="n">
        <v>1</v>
      </c>
      <c r="D104" s="5" t="s">
        <v>890</v>
      </c>
      <c r="E104" s="5" t="s">
        <v>891</v>
      </c>
      <c r="F104" s="5" t="n">
        <v>2024</v>
      </c>
      <c r="G104" s="5" t="s">
        <v>385</v>
      </c>
      <c r="H104" s="5" t="s">
        <v>228</v>
      </c>
      <c r="I104" s="5" t="s">
        <v>892</v>
      </c>
      <c r="J104" s="5" t="s">
        <v>388</v>
      </c>
      <c r="K104" s="5" t="s">
        <v>397</v>
      </c>
      <c r="L104" s="5" t="s">
        <v>390</v>
      </c>
      <c r="M104" s="5" t="s">
        <v>391</v>
      </c>
      <c r="N104" s="5" t="s">
        <v>398</v>
      </c>
      <c r="O104" s="5" t="s">
        <v>893</v>
      </c>
    </row>
    <row r="105" customFormat="false" ht="270.1" hidden="false" customHeight="false" outlineLevel="0" collapsed="false">
      <c r="A105" s="5" t="s">
        <v>894</v>
      </c>
      <c r="B105" s="5" t="s">
        <v>72</v>
      </c>
      <c r="C105" s="5" t="n">
        <v>1</v>
      </c>
      <c r="D105" s="5" t="s">
        <v>895</v>
      </c>
      <c r="E105" s="5" t="s">
        <v>896</v>
      </c>
      <c r="F105" s="5" t="n">
        <v>2024</v>
      </c>
      <c r="G105" s="5" t="s">
        <v>385</v>
      </c>
      <c r="H105" s="5" t="s">
        <v>897</v>
      </c>
      <c r="I105" s="5" t="s">
        <v>898</v>
      </c>
      <c r="J105" s="5" t="s">
        <v>388</v>
      </c>
      <c r="K105" s="5" t="s">
        <v>448</v>
      </c>
      <c r="L105" s="5" t="s">
        <v>390</v>
      </c>
      <c r="M105" s="5" t="s">
        <v>391</v>
      </c>
      <c r="N105" s="5" t="s">
        <v>405</v>
      </c>
      <c r="O105" s="5" t="s">
        <v>899</v>
      </c>
    </row>
    <row r="106" customFormat="false" ht="122.35" hidden="false" customHeight="false" outlineLevel="0" collapsed="false">
      <c r="A106" s="5" t="s">
        <v>900</v>
      </c>
      <c r="B106" s="5" t="s">
        <v>73</v>
      </c>
      <c r="C106" s="5" t="n">
        <v>1</v>
      </c>
      <c r="D106" s="5" t="s">
        <v>901</v>
      </c>
      <c r="E106" s="5" t="s">
        <v>902</v>
      </c>
      <c r="F106" s="5" t="n">
        <v>2025</v>
      </c>
      <c r="G106" s="5" t="s">
        <v>385</v>
      </c>
      <c r="H106" s="5" t="s">
        <v>903</v>
      </c>
      <c r="I106" s="5" t="s">
        <v>904</v>
      </c>
      <c r="J106" s="5" t="s">
        <v>388</v>
      </c>
      <c r="K106" s="5" t="s">
        <v>448</v>
      </c>
      <c r="L106" s="5" t="s">
        <v>390</v>
      </c>
      <c r="M106" s="5" t="s">
        <v>391</v>
      </c>
      <c r="N106" s="5" t="s">
        <v>398</v>
      </c>
      <c r="O106" s="5" t="s">
        <v>905</v>
      </c>
    </row>
    <row r="107" customFormat="false" ht="41.75" hidden="false" customHeight="false" outlineLevel="0" collapsed="false">
      <c r="A107" s="5" t="s">
        <v>906</v>
      </c>
      <c r="B107" s="5" t="s">
        <v>69</v>
      </c>
      <c r="C107" s="5" t="n">
        <v>1</v>
      </c>
      <c r="D107" s="5" t="s">
        <v>907</v>
      </c>
      <c r="E107" s="5" t="s">
        <v>908</v>
      </c>
      <c r="F107" s="5" t="n">
        <v>2024</v>
      </c>
      <c r="G107" s="5" t="s">
        <v>385</v>
      </c>
      <c r="H107" s="5" t="s">
        <v>909</v>
      </c>
      <c r="I107" s="5" t="s">
        <v>910</v>
      </c>
      <c r="J107" s="5" t="s">
        <v>388</v>
      </c>
      <c r="K107" s="5" t="s">
        <v>397</v>
      </c>
      <c r="L107" s="5" t="s">
        <v>390</v>
      </c>
      <c r="M107" s="5" t="s">
        <v>391</v>
      </c>
      <c r="N107" s="5" t="s">
        <v>392</v>
      </c>
      <c r="O107" s="5"/>
    </row>
    <row r="108" customFormat="false" ht="189.55" hidden="false" customHeight="false" outlineLevel="0" collapsed="false">
      <c r="A108" s="5" t="s">
        <v>911</v>
      </c>
      <c r="B108" s="5" t="s">
        <v>72</v>
      </c>
      <c r="C108" s="5" t="n">
        <v>1</v>
      </c>
      <c r="D108" s="5" t="s">
        <v>912</v>
      </c>
      <c r="E108" s="5" t="s">
        <v>913</v>
      </c>
      <c r="F108" s="5" t="n">
        <v>2022</v>
      </c>
      <c r="G108" s="5" t="s">
        <v>385</v>
      </c>
      <c r="H108" s="5" t="s">
        <v>276</v>
      </c>
      <c r="I108" s="5" t="s">
        <v>914</v>
      </c>
      <c r="J108" s="5" t="s">
        <v>388</v>
      </c>
      <c r="K108" s="5" t="s">
        <v>397</v>
      </c>
      <c r="L108" s="5" t="s">
        <v>390</v>
      </c>
      <c r="M108" s="5" t="s">
        <v>391</v>
      </c>
      <c r="N108" s="5" t="s">
        <v>405</v>
      </c>
      <c r="O108" s="5" t="s">
        <v>915</v>
      </c>
    </row>
    <row r="109" customFormat="false" ht="229.85" hidden="false" customHeight="false" outlineLevel="0" collapsed="false">
      <c r="A109" s="5" t="s">
        <v>916</v>
      </c>
      <c r="B109" s="5" t="s">
        <v>72</v>
      </c>
      <c r="C109" s="5" t="n">
        <v>1</v>
      </c>
      <c r="D109" s="5" t="s">
        <v>917</v>
      </c>
      <c r="E109" s="5" t="s">
        <v>918</v>
      </c>
      <c r="F109" s="5" t="n">
        <v>2025</v>
      </c>
      <c r="G109" s="5" t="s">
        <v>385</v>
      </c>
      <c r="H109" s="5" t="s">
        <v>276</v>
      </c>
      <c r="I109" s="5" t="s">
        <v>919</v>
      </c>
      <c r="J109" s="5" t="s">
        <v>388</v>
      </c>
      <c r="K109" s="5" t="s">
        <v>397</v>
      </c>
      <c r="L109" s="5" t="s">
        <v>390</v>
      </c>
      <c r="M109" s="5" t="s">
        <v>391</v>
      </c>
      <c r="N109" s="5" t="s">
        <v>405</v>
      </c>
      <c r="O109" s="5" t="s">
        <v>920</v>
      </c>
    </row>
    <row r="110" customFormat="false" ht="162.65" hidden="false" customHeight="false" outlineLevel="0" collapsed="false">
      <c r="A110" s="5" t="s">
        <v>921</v>
      </c>
      <c r="B110" s="5" t="s">
        <v>73</v>
      </c>
      <c r="C110" s="5" t="n">
        <v>1</v>
      </c>
      <c r="D110" s="5" t="s">
        <v>922</v>
      </c>
      <c r="E110" s="5" t="s">
        <v>923</v>
      </c>
      <c r="F110" s="5" t="n">
        <v>2020</v>
      </c>
      <c r="G110" s="5" t="s">
        <v>385</v>
      </c>
      <c r="H110" s="5" t="s">
        <v>924</v>
      </c>
      <c r="I110" s="5" t="s">
        <v>925</v>
      </c>
      <c r="J110" s="5" t="s">
        <v>388</v>
      </c>
      <c r="K110" s="5" t="s">
        <v>448</v>
      </c>
      <c r="L110" s="5" t="s">
        <v>390</v>
      </c>
      <c r="M110" s="5" t="s">
        <v>391</v>
      </c>
      <c r="N110" s="5" t="s">
        <v>398</v>
      </c>
      <c r="O110" s="5" t="s">
        <v>926</v>
      </c>
    </row>
    <row r="111" customFormat="false" ht="135.8" hidden="false" customHeight="false" outlineLevel="0" collapsed="false">
      <c r="A111" s="5" t="s">
        <v>927</v>
      </c>
      <c r="B111" s="5" t="s">
        <v>73</v>
      </c>
      <c r="C111" s="5" t="n">
        <v>1</v>
      </c>
      <c r="D111" s="5" t="s">
        <v>928</v>
      </c>
      <c r="E111" s="5" t="s">
        <v>929</v>
      </c>
      <c r="F111" s="5" t="n">
        <v>2023</v>
      </c>
      <c r="G111" s="5" t="s">
        <v>385</v>
      </c>
      <c r="H111" s="5" t="s">
        <v>903</v>
      </c>
      <c r="I111" s="5" t="s">
        <v>930</v>
      </c>
      <c r="J111" s="5" t="s">
        <v>388</v>
      </c>
      <c r="K111" s="5" t="s">
        <v>397</v>
      </c>
      <c r="L111" s="5" t="s">
        <v>390</v>
      </c>
      <c r="M111" s="5" t="s">
        <v>391</v>
      </c>
      <c r="N111" s="5" t="s">
        <v>398</v>
      </c>
      <c r="O111" s="5" t="s">
        <v>931</v>
      </c>
    </row>
    <row r="112" customFormat="false" ht="149.25" hidden="false" customHeight="false" outlineLevel="0" collapsed="false">
      <c r="A112" s="5" t="s">
        <v>932</v>
      </c>
      <c r="B112" s="5" t="s">
        <v>72</v>
      </c>
      <c r="C112" s="5" t="n">
        <v>1</v>
      </c>
      <c r="D112" s="5" t="s">
        <v>933</v>
      </c>
      <c r="E112" s="5" t="s">
        <v>934</v>
      </c>
      <c r="F112" s="5" t="n">
        <v>2025</v>
      </c>
      <c r="G112" s="5" t="s">
        <v>385</v>
      </c>
      <c r="H112" s="5" t="s">
        <v>732</v>
      </c>
      <c r="I112" s="5" t="s">
        <v>935</v>
      </c>
      <c r="J112" s="5" t="s">
        <v>388</v>
      </c>
      <c r="K112" s="5" t="s">
        <v>448</v>
      </c>
      <c r="L112" s="5" t="s">
        <v>390</v>
      </c>
      <c r="M112" s="5" t="s">
        <v>391</v>
      </c>
      <c r="N112" s="5" t="s">
        <v>405</v>
      </c>
      <c r="O112" s="5" t="s">
        <v>936</v>
      </c>
    </row>
    <row r="113" customFormat="false" ht="243.25" hidden="false" customHeight="false" outlineLevel="0" collapsed="false">
      <c r="A113" s="5" t="s">
        <v>937</v>
      </c>
      <c r="B113" s="5" t="s">
        <v>72</v>
      </c>
      <c r="C113" s="5" t="n">
        <v>1</v>
      </c>
      <c r="D113" s="5" t="s">
        <v>938</v>
      </c>
      <c r="E113" s="5" t="s">
        <v>939</v>
      </c>
      <c r="F113" s="5" t="n">
        <v>2025</v>
      </c>
      <c r="G113" s="5" t="s">
        <v>385</v>
      </c>
      <c r="H113" s="5" t="s">
        <v>204</v>
      </c>
      <c r="I113" s="5" t="s">
        <v>940</v>
      </c>
      <c r="J113" s="5" t="s">
        <v>941</v>
      </c>
      <c r="K113" s="5" t="s">
        <v>942</v>
      </c>
      <c r="L113" s="5" t="s">
        <v>428</v>
      </c>
      <c r="M113" s="5" t="s">
        <v>943</v>
      </c>
      <c r="N113" s="5" t="s">
        <v>405</v>
      </c>
      <c r="O113" s="5" t="s">
        <v>944</v>
      </c>
    </row>
    <row r="114" customFormat="false" ht="122.35" hidden="false" customHeight="false" outlineLevel="0" collapsed="false">
      <c r="A114" s="5" t="s">
        <v>945</v>
      </c>
      <c r="B114" s="5" t="s">
        <v>73</v>
      </c>
      <c r="C114" s="5" t="n">
        <v>1</v>
      </c>
      <c r="D114" s="5" t="s">
        <v>946</v>
      </c>
      <c r="E114" s="5" t="s">
        <v>947</v>
      </c>
      <c r="F114" s="5" t="n">
        <v>2019</v>
      </c>
      <c r="G114" s="5" t="s">
        <v>385</v>
      </c>
      <c r="H114" s="5" t="s">
        <v>228</v>
      </c>
      <c r="I114" s="5" t="s">
        <v>948</v>
      </c>
      <c r="J114" s="5" t="s">
        <v>388</v>
      </c>
      <c r="K114" s="5" t="s">
        <v>397</v>
      </c>
      <c r="L114" s="5" t="s">
        <v>390</v>
      </c>
      <c r="M114" s="5" t="s">
        <v>391</v>
      </c>
      <c r="N114" s="5" t="s">
        <v>398</v>
      </c>
      <c r="O114" s="5" t="s">
        <v>949</v>
      </c>
    </row>
    <row r="115" customFormat="false" ht="243.25" hidden="false" customHeight="false" outlineLevel="0" collapsed="false">
      <c r="A115" s="5" t="s">
        <v>950</v>
      </c>
      <c r="B115" s="5" t="s">
        <v>69</v>
      </c>
      <c r="C115" s="5" t="n">
        <v>1</v>
      </c>
      <c r="D115" s="5" t="s">
        <v>951</v>
      </c>
      <c r="E115" s="5" t="s">
        <v>952</v>
      </c>
      <c r="F115" s="5" t="n">
        <v>2024</v>
      </c>
      <c r="G115" s="5" t="s">
        <v>385</v>
      </c>
      <c r="H115" s="5" t="s">
        <v>909</v>
      </c>
      <c r="I115" s="5" t="s">
        <v>953</v>
      </c>
      <c r="J115" s="5" t="s">
        <v>388</v>
      </c>
      <c r="K115" s="5" t="s">
        <v>448</v>
      </c>
      <c r="L115" s="5" t="s">
        <v>390</v>
      </c>
      <c r="M115" s="5" t="s">
        <v>391</v>
      </c>
      <c r="N115" s="5" t="s">
        <v>392</v>
      </c>
      <c r="O115" s="5" t="s">
        <v>954</v>
      </c>
    </row>
    <row r="116" customFormat="false" ht="162.65" hidden="false" customHeight="false" outlineLevel="0" collapsed="false">
      <c r="A116" s="5" t="s">
        <v>955</v>
      </c>
      <c r="B116" s="5" t="s">
        <v>73</v>
      </c>
      <c r="C116" s="5" t="n">
        <v>1</v>
      </c>
      <c r="D116" s="5" t="s">
        <v>956</v>
      </c>
      <c r="E116" s="5" t="s">
        <v>957</v>
      </c>
      <c r="F116" s="5" t="n">
        <v>2020</v>
      </c>
      <c r="G116" s="5" t="s">
        <v>385</v>
      </c>
      <c r="H116" s="5" t="s">
        <v>958</v>
      </c>
      <c r="I116" s="5" t="s">
        <v>959</v>
      </c>
      <c r="J116" s="5" t="s">
        <v>388</v>
      </c>
      <c r="K116" s="5" t="s">
        <v>397</v>
      </c>
      <c r="L116" s="5" t="s">
        <v>390</v>
      </c>
      <c r="M116" s="5" t="s">
        <v>391</v>
      </c>
      <c r="N116" s="5" t="s">
        <v>398</v>
      </c>
      <c r="O116" s="5" t="s">
        <v>960</v>
      </c>
    </row>
    <row r="117" customFormat="false" ht="176.1" hidden="false" customHeight="false" outlineLevel="0" collapsed="false">
      <c r="A117" s="5" t="s">
        <v>961</v>
      </c>
      <c r="B117" s="5" t="s">
        <v>69</v>
      </c>
      <c r="C117" s="5" t="n">
        <v>1</v>
      </c>
      <c r="D117" s="5" t="s">
        <v>962</v>
      </c>
      <c r="E117" s="5" t="s">
        <v>963</v>
      </c>
      <c r="F117" s="5" t="n">
        <v>2021</v>
      </c>
      <c r="G117" s="5" t="s">
        <v>385</v>
      </c>
      <c r="H117" s="5" t="s">
        <v>507</v>
      </c>
      <c r="I117" s="5" t="s">
        <v>964</v>
      </c>
      <c r="J117" s="5" t="s">
        <v>388</v>
      </c>
      <c r="K117" s="5" t="s">
        <v>397</v>
      </c>
      <c r="L117" s="5" t="s">
        <v>390</v>
      </c>
      <c r="M117" s="5" t="s">
        <v>391</v>
      </c>
      <c r="N117" s="5" t="s">
        <v>392</v>
      </c>
      <c r="O117" s="5" t="s">
        <v>965</v>
      </c>
    </row>
    <row r="118" customFormat="false" ht="189.55" hidden="false" customHeight="false" outlineLevel="0" collapsed="false">
      <c r="A118" s="5" t="s">
        <v>966</v>
      </c>
      <c r="B118" s="5" t="s">
        <v>72</v>
      </c>
      <c r="C118" s="5" t="n">
        <v>1</v>
      </c>
      <c r="D118" s="5" t="s">
        <v>967</v>
      </c>
      <c r="E118" s="5" t="s">
        <v>968</v>
      </c>
      <c r="F118" s="5" t="n">
        <v>2021</v>
      </c>
      <c r="G118" s="5" t="s">
        <v>385</v>
      </c>
      <c r="H118" s="5" t="s">
        <v>453</v>
      </c>
      <c r="I118" s="5" t="s">
        <v>969</v>
      </c>
      <c r="J118" s="5" t="s">
        <v>388</v>
      </c>
      <c r="K118" s="5" t="s">
        <v>397</v>
      </c>
      <c r="L118" s="5" t="s">
        <v>390</v>
      </c>
      <c r="M118" s="5" t="s">
        <v>391</v>
      </c>
      <c r="N118" s="5" t="s">
        <v>405</v>
      </c>
      <c r="O118" s="5" t="s">
        <v>970</v>
      </c>
    </row>
    <row r="119" customFormat="false" ht="189.55" hidden="false" customHeight="false" outlineLevel="0" collapsed="false">
      <c r="A119" s="5" t="s">
        <v>971</v>
      </c>
      <c r="B119" s="5" t="s">
        <v>73</v>
      </c>
      <c r="C119" s="5" t="n">
        <v>1</v>
      </c>
      <c r="D119" s="5" t="s">
        <v>972</v>
      </c>
      <c r="E119" s="5" t="s">
        <v>973</v>
      </c>
      <c r="F119" s="5" t="n">
        <v>2023</v>
      </c>
      <c r="G119" s="5" t="s">
        <v>385</v>
      </c>
      <c r="H119" s="5" t="s">
        <v>673</v>
      </c>
      <c r="I119" s="5" t="s">
        <v>974</v>
      </c>
      <c r="J119" s="5" t="s">
        <v>388</v>
      </c>
      <c r="K119" s="5" t="s">
        <v>397</v>
      </c>
      <c r="L119" s="5" t="s">
        <v>390</v>
      </c>
      <c r="M119" s="5" t="s">
        <v>391</v>
      </c>
      <c r="N119" s="5" t="s">
        <v>398</v>
      </c>
      <c r="O119" s="5" t="s">
        <v>975</v>
      </c>
    </row>
    <row r="120" customFormat="false" ht="202.95" hidden="false" customHeight="false" outlineLevel="0" collapsed="false">
      <c r="A120" s="5" t="s">
        <v>976</v>
      </c>
      <c r="B120" s="5" t="s">
        <v>69</v>
      </c>
      <c r="C120" s="5" t="n">
        <v>1</v>
      </c>
      <c r="D120" s="5" t="s">
        <v>977</v>
      </c>
      <c r="E120" s="5" t="s">
        <v>978</v>
      </c>
      <c r="F120" s="5" t="n">
        <v>2023</v>
      </c>
      <c r="G120" s="5" t="s">
        <v>385</v>
      </c>
      <c r="H120" s="5" t="s">
        <v>233</v>
      </c>
      <c r="I120" s="5" t="s">
        <v>979</v>
      </c>
      <c r="J120" s="5" t="s">
        <v>388</v>
      </c>
      <c r="K120" s="5" t="s">
        <v>980</v>
      </c>
      <c r="L120" s="5" t="s">
        <v>428</v>
      </c>
      <c r="M120" s="5" t="s">
        <v>981</v>
      </c>
      <c r="N120" s="5" t="s">
        <v>392</v>
      </c>
      <c r="O120" s="5" t="s">
        <v>982</v>
      </c>
    </row>
    <row r="121" customFormat="false" ht="202.95" hidden="false" customHeight="false" outlineLevel="0" collapsed="false">
      <c r="A121" s="5" t="s">
        <v>983</v>
      </c>
      <c r="B121" s="5" t="s">
        <v>73</v>
      </c>
      <c r="C121" s="5" t="n">
        <v>1</v>
      </c>
      <c r="D121" s="5" t="s">
        <v>984</v>
      </c>
      <c r="E121" s="5" t="s">
        <v>985</v>
      </c>
      <c r="F121" s="5" t="n">
        <v>2025</v>
      </c>
      <c r="G121" s="5" t="s">
        <v>385</v>
      </c>
      <c r="H121" s="5" t="s">
        <v>228</v>
      </c>
      <c r="I121" s="5" t="s">
        <v>986</v>
      </c>
      <c r="J121" s="5" t="s">
        <v>388</v>
      </c>
      <c r="K121" s="5" t="s">
        <v>389</v>
      </c>
      <c r="L121" s="5" t="s">
        <v>390</v>
      </c>
      <c r="M121" s="5" t="s">
        <v>391</v>
      </c>
      <c r="N121" s="5" t="s">
        <v>398</v>
      </c>
      <c r="O121" s="5" t="s">
        <v>987</v>
      </c>
    </row>
    <row r="122" customFormat="false" ht="243.25" hidden="false" customHeight="false" outlineLevel="0" collapsed="false">
      <c r="A122" s="5" t="s">
        <v>988</v>
      </c>
      <c r="B122" s="5" t="s">
        <v>72</v>
      </c>
      <c r="C122" s="5" t="n">
        <v>1</v>
      </c>
      <c r="D122" s="5" t="s">
        <v>274</v>
      </c>
      <c r="E122" s="5" t="s">
        <v>275</v>
      </c>
      <c r="F122" s="5" t="n">
        <v>2025</v>
      </c>
      <c r="G122" s="5" t="s">
        <v>385</v>
      </c>
      <c r="H122" s="5" t="s">
        <v>276</v>
      </c>
      <c r="I122" s="5" t="s">
        <v>277</v>
      </c>
      <c r="J122" s="5" t="s">
        <v>463</v>
      </c>
      <c r="K122" s="5" t="s">
        <v>464</v>
      </c>
      <c r="L122" s="5" t="s">
        <v>465</v>
      </c>
      <c r="M122" s="5" t="s">
        <v>466</v>
      </c>
      <c r="N122" s="5" t="s">
        <v>405</v>
      </c>
      <c r="O122" s="5" t="s">
        <v>989</v>
      </c>
    </row>
    <row r="123" customFormat="false" ht="189.55" hidden="false" customHeight="false" outlineLevel="0" collapsed="false">
      <c r="A123" s="5" t="s">
        <v>990</v>
      </c>
      <c r="B123" s="5" t="s">
        <v>72</v>
      </c>
      <c r="C123" s="5" t="n">
        <v>1</v>
      </c>
      <c r="D123" s="5" t="s">
        <v>991</v>
      </c>
      <c r="E123" s="5" t="s">
        <v>992</v>
      </c>
      <c r="F123" s="5" t="n">
        <v>2021</v>
      </c>
      <c r="G123" s="5" t="s">
        <v>385</v>
      </c>
      <c r="H123" s="5" t="s">
        <v>204</v>
      </c>
      <c r="I123" s="5" t="s">
        <v>993</v>
      </c>
      <c r="J123" s="5" t="s">
        <v>388</v>
      </c>
      <c r="K123" s="5" t="s">
        <v>397</v>
      </c>
      <c r="L123" s="5" t="s">
        <v>390</v>
      </c>
      <c r="M123" s="5" t="s">
        <v>391</v>
      </c>
      <c r="N123" s="5" t="s">
        <v>405</v>
      </c>
      <c r="O123" s="5" t="s">
        <v>994</v>
      </c>
    </row>
    <row r="124" customFormat="false" ht="283.55" hidden="false" customHeight="false" outlineLevel="0" collapsed="false">
      <c r="A124" s="5" t="s">
        <v>995</v>
      </c>
      <c r="B124" s="5" t="s">
        <v>72</v>
      </c>
      <c r="C124" s="5" t="n">
        <v>1</v>
      </c>
      <c r="D124" s="5" t="s">
        <v>996</v>
      </c>
      <c r="E124" s="5" t="s">
        <v>997</v>
      </c>
      <c r="F124" s="5" t="n">
        <v>2025</v>
      </c>
      <c r="G124" s="5" t="s">
        <v>385</v>
      </c>
      <c r="H124" s="5" t="s">
        <v>276</v>
      </c>
      <c r="I124" s="5" t="s">
        <v>998</v>
      </c>
      <c r="J124" s="5" t="s">
        <v>388</v>
      </c>
      <c r="K124" s="5" t="s">
        <v>397</v>
      </c>
      <c r="L124" s="5" t="s">
        <v>390</v>
      </c>
      <c r="M124" s="5" t="s">
        <v>391</v>
      </c>
      <c r="N124" s="5" t="s">
        <v>405</v>
      </c>
      <c r="O124" s="5" t="s">
        <v>999</v>
      </c>
    </row>
    <row r="125" customFormat="false" ht="310.4" hidden="false" customHeight="false" outlineLevel="0" collapsed="false">
      <c r="A125" s="5" t="s">
        <v>1000</v>
      </c>
      <c r="B125" s="5" t="s">
        <v>69</v>
      </c>
      <c r="C125" s="5" t="n">
        <v>1</v>
      </c>
      <c r="D125" s="5" t="s">
        <v>1001</v>
      </c>
      <c r="E125" s="5" t="s">
        <v>1002</v>
      </c>
      <c r="F125" s="5" t="n">
        <v>2024</v>
      </c>
      <c r="G125" s="5" t="s">
        <v>385</v>
      </c>
      <c r="H125" s="5" t="s">
        <v>507</v>
      </c>
      <c r="I125" s="5" t="s">
        <v>1003</v>
      </c>
      <c r="J125" s="5" t="s">
        <v>388</v>
      </c>
      <c r="K125" s="5" t="s">
        <v>397</v>
      </c>
      <c r="L125" s="5" t="s">
        <v>390</v>
      </c>
      <c r="M125" s="5" t="s">
        <v>391</v>
      </c>
      <c r="N125" s="5" t="s">
        <v>392</v>
      </c>
      <c r="O125" s="5" t="s">
        <v>1004</v>
      </c>
    </row>
    <row r="126" customFormat="false" ht="108.95" hidden="false" customHeight="false" outlineLevel="0" collapsed="false">
      <c r="A126" s="5" t="s">
        <v>1005</v>
      </c>
      <c r="B126" s="5" t="s">
        <v>73</v>
      </c>
      <c r="C126" s="5" t="n">
        <v>1</v>
      </c>
      <c r="D126" s="5" t="s">
        <v>1006</v>
      </c>
      <c r="E126" s="5" t="s">
        <v>1007</v>
      </c>
      <c r="F126" s="5" t="n">
        <v>2026</v>
      </c>
      <c r="G126" s="5" t="s">
        <v>385</v>
      </c>
      <c r="H126" s="5" t="s">
        <v>1008</v>
      </c>
      <c r="I126" s="5" t="s">
        <v>1009</v>
      </c>
      <c r="J126" s="5" t="s">
        <v>388</v>
      </c>
      <c r="K126" s="5" t="s">
        <v>397</v>
      </c>
      <c r="L126" s="5" t="s">
        <v>390</v>
      </c>
      <c r="M126" s="5" t="s">
        <v>391</v>
      </c>
      <c r="N126" s="5" t="s">
        <v>398</v>
      </c>
      <c r="O126" s="5" t="s">
        <v>1010</v>
      </c>
    </row>
    <row r="127" customFormat="false" ht="149.25" hidden="false" customHeight="false" outlineLevel="0" collapsed="false">
      <c r="A127" s="5" t="s">
        <v>1011</v>
      </c>
      <c r="B127" s="5" t="s">
        <v>69</v>
      </c>
      <c r="C127" s="5" t="n">
        <v>1</v>
      </c>
      <c r="D127" s="5" t="s">
        <v>1012</v>
      </c>
      <c r="E127" s="5" t="s">
        <v>1013</v>
      </c>
      <c r="F127" s="5" t="n">
        <v>2017</v>
      </c>
      <c r="G127" s="5" t="s">
        <v>385</v>
      </c>
      <c r="H127" s="5" t="s">
        <v>459</v>
      </c>
      <c r="I127" s="5" t="s">
        <v>1014</v>
      </c>
      <c r="J127" s="5" t="s">
        <v>388</v>
      </c>
      <c r="K127" s="5" t="s">
        <v>397</v>
      </c>
      <c r="L127" s="5" t="s">
        <v>390</v>
      </c>
      <c r="M127" s="5" t="s">
        <v>391</v>
      </c>
      <c r="N127" s="5" t="s">
        <v>392</v>
      </c>
      <c r="O127" s="5" t="s">
        <v>1015</v>
      </c>
    </row>
    <row r="128" customFormat="false" ht="216.4" hidden="false" customHeight="false" outlineLevel="0" collapsed="false">
      <c r="A128" s="5" t="s">
        <v>1016</v>
      </c>
      <c r="B128" s="5" t="s">
        <v>72</v>
      </c>
      <c r="C128" s="5" t="n">
        <v>1</v>
      </c>
      <c r="D128" s="5" t="s">
        <v>1017</v>
      </c>
      <c r="E128" s="5" t="s">
        <v>1018</v>
      </c>
      <c r="F128" s="5" t="n">
        <v>2024</v>
      </c>
      <c r="G128" s="5" t="s">
        <v>385</v>
      </c>
      <c r="H128" s="5" t="s">
        <v>223</v>
      </c>
      <c r="I128" s="5" t="s">
        <v>1019</v>
      </c>
      <c r="J128" s="5" t="s">
        <v>388</v>
      </c>
      <c r="K128" s="5" t="s">
        <v>448</v>
      </c>
      <c r="L128" s="5" t="s">
        <v>390</v>
      </c>
      <c r="M128" s="5" t="s">
        <v>391</v>
      </c>
      <c r="N128" s="5" t="s">
        <v>405</v>
      </c>
      <c r="O128" s="5" t="s">
        <v>1020</v>
      </c>
    </row>
    <row r="129" customFormat="false" ht="176.1" hidden="false" customHeight="false" outlineLevel="0" collapsed="false">
      <c r="A129" s="5" t="s">
        <v>1021</v>
      </c>
      <c r="B129" s="5" t="s">
        <v>72</v>
      </c>
      <c r="C129" s="5" t="n">
        <v>1</v>
      </c>
      <c r="D129" s="5" t="s">
        <v>1022</v>
      </c>
      <c r="E129" s="5" t="s">
        <v>1023</v>
      </c>
      <c r="F129" s="5" t="n">
        <v>2022</v>
      </c>
      <c r="G129" s="5" t="s">
        <v>385</v>
      </c>
      <c r="H129" s="5" t="s">
        <v>654</v>
      </c>
      <c r="I129" s="5" t="s">
        <v>1024</v>
      </c>
      <c r="J129" s="5" t="s">
        <v>388</v>
      </c>
      <c r="K129" s="5" t="s">
        <v>448</v>
      </c>
      <c r="L129" s="5" t="s">
        <v>390</v>
      </c>
      <c r="M129" s="5" t="s">
        <v>391</v>
      </c>
      <c r="N129" s="5" t="s">
        <v>405</v>
      </c>
      <c r="O129" s="5" t="s">
        <v>1025</v>
      </c>
    </row>
    <row r="130" customFormat="false" ht="189.55" hidden="false" customHeight="false" outlineLevel="0" collapsed="false">
      <c r="A130" s="5" t="s">
        <v>1026</v>
      </c>
      <c r="B130" s="5" t="s">
        <v>72</v>
      </c>
      <c r="C130" s="5" t="n">
        <v>1</v>
      </c>
      <c r="D130" s="5" t="s">
        <v>1027</v>
      </c>
      <c r="E130" s="5" t="s">
        <v>1028</v>
      </c>
      <c r="F130" s="5" t="n">
        <v>2024</v>
      </c>
      <c r="G130" s="5" t="s">
        <v>385</v>
      </c>
      <c r="H130" s="5" t="s">
        <v>403</v>
      </c>
      <c r="I130" s="5" t="s">
        <v>1029</v>
      </c>
      <c r="J130" s="5" t="s">
        <v>388</v>
      </c>
      <c r="K130" s="5" t="s">
        <v>448</v>
      </c>
      <c r="L130" s="5" t="s">
        <v>390</v>
      </c>
      <c r="M130" s="5" t="s">
        <v>391</v>
      </c>
      <c r="N130" s="5" t="s">
        <v>405</v>
      </c>
      <c r="O130" s="5" t="s">
        <v>1030</v>
      </c>
    </row>
    <row r="131" customFormat="false" ht="176.1" hidden="false" customHeight="false" outlineLevel="0" collapsed="false">
      <c r="A131" s="5" t="s">
        <v>1031</v>
      </c>
      <c r="B131" s="5" t="s">
        <v>69</v>
      </c>
      <c r="C131" s="5" t="n">
        <v>1</v>
      </c>
      <c r="D131" s="5" t="s">
        <v>1032</v>
      </c>
      <c r="E131" s="5" t="s">
        <v>1033</v>
      </c>
      <c r="F131" s="5" t="n">
        <v>2023</v>
      </c>
      <c r="G131" s="5" t="s">
        <v>385</v>
      </c>
      <c r="H131" s="5" t="s">
        <v>580</v>
      </c>
      <c r="I131" s="5" t="s">
        <v>1034</v>
      </c>
      <c r="J131" s="5" t="s">
        <v>388</v>
      </c>
      <c r="K131" s="5" t="s">
        <v>397</v>
      </c>
      <c r="L131" s="5" t="s">
        <v>390</v>
      </c>
      <c r="M131" s="5" t="s">
        <v>391</v>
      </c>
      <c r="N131" s="5" t="s">
        <v>392</v>
      </c>
      <c r="O131" s="5" t="s">
        <v>1035</v>
      </c>
    </row>
    <row r="132" customFormat="false" ht="270.1" hidden="false" customHeight="false" outlineLevel="0" collapsed="false">
      <c r="A132" s="5" t="s">
        <v>1036</v>
      </c>
      <c r="B132" s="5" t="s">
        <v>72</v>
      </c>
      <c r="C132" s="5" t="n">
        <v>1</v>
      </c>
      <c r="D132" s="5" t="s">
        <v>1037</v>
      </c>
      <c r="E132" s="5" t="s">
        <v>1038</v>
      </c>
      <c r="F132" s="5" t="n">
        <v>2025</v>
      </c>
      <c r="G132" s="5" t="s">
        <v>385</v>
      </c>
      <c r="H132" s="5" t="s">
        <v>276</v>
      </c>
      <c r="I132" s="5" t="s">
        <v>1039</v>
      </c>
      <c r="J132" s="5" t="s">
        <v>388</v>
      </c>
      <c r="K132" s="5" t="s">
        <v>436</v>
      </c>
      <c r="L132" s="5" t="s">
        <v>390</v>
      </c>
      <c r="M132" s="5" t="s">
        <v>391</v>
      </c>
      <c r="N132" s="5" t="s">
        <v>405</v>
      </c>
      <c r="O132" s="5" t="s">
        <v>1040</v>
      </c>
    </row>
    <row r="133" customFormat="false" ht="176.1" hidden="false" customHeight="false" outlineLevel="0" collapsed="false">
      <c r="A133" s="5" t="s">
        <v>1041</v>
      </c>
      <c r="B133" s="5" t="s">
        <v>72</v>
      </c>
      <c r="C133" s="5" t="n">
        <v>1</v>
      </c>
      <c r="D133" s="5" t="s">
        <v>1042</v>
      </c>
      <c r="E133" s="5" t="s">
        <v>1043</v>
      </c>
      <c r="F133" s="5" t="n">
        <v>2021</v>
      </c>
      <c r="G133" s="5" t="s">
        <v>385</v>
      </c>
      <c r="H133" s="5" t="s">
        <v>1044</v>
      </c>
      <c r="I133" s="5" t="s">
        <v>1045</v>
      </c>
      <c r="J133" s="5" t="s">
        <v>388</v>
      </c>
      <c r="K133" s="5" t="s">
        <v>436</v>
      </c>
      <c r="L133" s="5" t="s">
        <v>390</v>
      </c>
      <c r="M133" s="5" t="s">
        <v>391</v>
      </c>
      <c r="N133" s="5" t="s">
        <v>405</v>
      </c>
      <c r="O133" s="5" t="s">
        <v>1046</v>
      </c>
    </row>
    <row r="134" customFormat="false" ht="189.55" hidden="false" customHeight="false" outlineLevel="0" collapsed="false">
      <c r="A134" s="5" t="s">
        <v>1047</v>
      </c>
      <c r="B134" s="5" t="s">
        <v>72</v>
      </c>
      <c r="C134" s="5" t="n">
        <v>1</v>
      </c>
      <c r="D134" s="5" t="s">
        <v>1048</v>
      </c>
      <c r="E134" s="5" t="s">
        <v>1049</v>
      </c>
      <c r="F134" s="5" t="n">
        <v>2025</v>
      </c>
      <c r="G134" s="5" t="s">
        <v>385</v>
      </c>
      <c r="H134" s="5" t="s">
        <v>204</v>
      </c>
      <c r="I134" s="5" t="s">
        <v>1050</v>
      </c>
      <c r="J134" s="5" t="s">
        <v>388</v>
      </c>
      <c r="K134" s="5" t="s">
        <v>436</v>
      </c>
      <c r="L134" s="5" t="s">
        <v>390</v>
      </c>
      <c r="M134" s="5" t="s">
        <v>391</v>
      </c>
      <c r="N134" s="5" t="s">
        <v>405</v>
      </c>
      <c r="O134" s="5" t="s">
        <v>1051</v>
      </c>
    </row>
    <row r="135" customFormat="false" ht="108.95" hidden="false" customHeight="false" outlineLevel="0" collapsed="false">
      <c r="A135" s="5" t="s">
        <v>1052</v>
      </c>
      <c r="B135" s="5" t="s">
        <v>73</v>
      </c>
      <c r="C135" s="5" t="n">
        <v>1</v>
      </c>
      <c r="D135" s="5" t="s">
        <v>1053</v>
      </c>
      <c r="E135" s="5" t="s">
        <v>1054</v>
      </c>
      <c r="F135" s="5" t="n">
        <v>2020</v>
      </c>
      <c r="G135" s="5" t="s">
        <v>385</v>
      </c>
      <c r="H135" s="5" t="s">
        <v>1055</v>
      </c>
      <c r="I135" s="5" t="s">
        <v>1056</v>
      </c>
      <c r="J135" s="5" t="s">
        <v>388</v>
      </c>
      <c r="K135" s="5" t="s">
        <v>389</v>
      </c>
      <c r="L135" s="5" t="s">
        <v>390</v>
      </c>
      <c r="M135" s="5" t="s">
        <v>391</v>
      </c>
      <c r="N135" s="5" t="s">
        <v>398</v>
      </c>
      <c r="O135" s="5" t="s">
        <v>1057</v>
      </c>
    </row>
    <row r="136" customFormat="false" ht="135.8" hidden="false" customHeight="false" outlineLevel="0" collapsed="false">
      <c r="A136" s="5" t="s">
        <v>1058</v>
      </c>
      <c r="B136" s="5" t="s">
        <v>69</v>
      </c>
      <c r="C136" s="5" t="n">
        <v>1</v>
      </c>
      <c r="D136" s="5" t="s">
        <v>1059</v>
      </c>
      <c r="E136" s="5" t="s">
        <v>1060</v>
      </c>
      <c r="F136" s="5" t="n">
        <v>2022</v>
      </c>
      <c r="G136" s="5" t="s">
        <v>385</v>
      </c>
      <c r="H136" s="5" t="s">
        <v>1061</v>
      </c>
      <c r="I136" s="5" t="s">
        <v>1062</v>
      </c>
      <c r="J136" s="5" t="s">
        <v>388</v>
      </c>
      <c r="K136" s="5" t="s">
        <v>389</v>
      </c>
      <c r="L136" s="5" t="s">
        <v>390</v>
      </c>
      <c r="M136" s="5" t="s">
        <v>391</v>
      </c>
      <c r="N136" s="5" t="s">
        <v>392</v>
      </c>
      <c r="O136" s="5" t="s">
        <v>1063</v>
      </c>
    </row>
    <row r="137" customFormat="false" ht="256.7" hidden="false" customHeight="false" outlineLevel="0" collapsed="false">
      <c r="A137" s="5" t="s">
        <v>1064</v>
      </c>
      <c r="B137" s="5" t="s">
        <v>73</v>
      </c>
      <c r="C137" s="5" t="n">
        <v>1</v>
      </c>
      <c r="D137" s="5" t="s">
        <v>1065</v>
      </c>
      <c r="E137" s="5" t="s">
        <v>1066</v>
      </c>
      <c r="F137" s="5" t="n">
        <v>2021</v>
      </c>
      <c r="G137" s="5" t="s">
        <v>385</v>
      </c>
      <c r="H137" s="5" t="s">
        <v>228</v>
      </c>
      <c r="I137" s="5" t="s">
        <v>1067</v>
      </c>
      <c r="J137" s="5" t="s">
        <v>388</v>
      </c>
      <c r="K137" s="5" t="s">
        <v>389</v>
      </c>
      <c r="L137" s="5" t="s">
        <v>390</v>
      </c>
      <c r="M137" s="5" t="s">
        <v>391</v>
      </c>
      <c r="N137" s="5" t="s">
        <v>398</v>
      </c>
      <c r="O137" s="5" t="s">
        <v>1068</v>
      </c>
    </row>
    <row r="138" customFormat="false" ht="28.35" hidden="false" customHeight="false" outlineLevel="0" collapsed="false">
      <c r="A138" s="5" t="s">
        <v>1069</v>
      </c>
      <c r="B138" s="5" t="s">
        <v>72</v>
      </c>
      <c r="C138" s="5" t="n">
        <v>1</v>
      </c>
      <c r="D138" s="5" t="s">
        <v>202</v>
      </c>
      <c r="E138" s="5" t="s">
        <v>203</v>
      </c>
      <c r="F138" s="5" t="n">
        <v>2020</v>
      </c>
      <c r="G138" s="5" t="s">
        <v>385</v>
      </c>
      <c r="H138" s="5" t="s">
        <v>204</v>
      </c>
      <c r="I138" s="5" t="s">
        <v>205</v>
      </c>
      <c r="J138" s="5" t="s">
        <v>463</v>
      </c>
      <c r="K138" s="5" t="s">
        <v>464</v>
      </c>
      <c r="L138" s="5" t="s">
        <v>465</v>
      </c>
      <c r="M138" s="5" t="s">
        <v>466</v>
      </c>
      <c r="N138" s="5" t="s">
        <v>405</v>
      </c>
      <c r="O138" s="5"/>
    </row>
    <row r="139" customFormat="false" ht="216.4" hidden="false" customHeight="false" outlineLevel="0" collapsed="false">
      <c r="A139" s="5" t="s">
        <v>1070</v>
      </c>
      <c r="B139" s="5" t="s">
        <v>72</v>
      </c>
      <c r="C139" s="5" t="n">
        <v>1</v>
      </c>
      <c r="D139" s="5" t="s">
        <v>279</v>
      </c>
      <c r="E139" s="5" t="s">
        <v>280</v>
      </c>
      <c r="F139" s="5" t="n">
        <v>2025</v>
      </c>
      <c r="G139" s="5" t="s">
        <v>385</v>
      </c>
      <c r="H139" s="5" t="s">
        <v>223</v>
      </c>
      <c r="I139" s="5" t="s">
        <v>281</v>
      </c>
      <c r="J139" s="5" t="s">
        <v>463</v>
      </c>
      <c r="K139" s="5" t="s">
        <v>464</v>
      </c>
      <c r="L139" s="5" t="s">
        <v>465</v>
      </c>
      <c r="M139" s="5" t="s">
        <v>466</v>
      </c>
      <c r="N139" s="5" t="s">
        <v>405</v>
      </c>
      <c r="O139" s="5" t="s">
        <v>1071</v>
      </c>
    </row>
    <row r="140" customFormat="false" ht="256.7" hidden="false" customHeight="false" outlineLevel="0" collapsed="false">
      <c r="A140" s="5" t="s">
        <v>1072</v>
      </c>
      <c r="B140" s="5" t="s">
        <v>72</v>
      </c>
      <c r="C140" s="5" t="n">
        <v>1</v>
      </c>
      <c r="D140" s="5" t="s">
        <v>1073</v>
      </c>
      <c r="E140" s="5" t="s">
        <v>1074</v>
      </c>
      <c r="F140" s="5" t="n">
        <v>2019</v>
      </c>
      <c r="G140" s="5" t="s">
        <v>385</v>
      </c>
      <c r="H140" s="5" t="s">
        <v>204</v>
      </c>
      <c r="I140" s="5" t="s">
        <v>1075</v>
      </c>
      <c r="J140" s="5" t="s">
        <v>388</v>
      </c>
      <c r="K140" s="5" t="s">
        <v>436</v>
      </c>
      <c r="L140" s="5" t="s">
        <v>390</v>
      </c>
      <c r="M140" s="5" t="s">
        <v>391</v>
      </c>
      <c r="N140" s="5" t="s">
        <v>405</v>
      </c>
      <c r="O140" s="5" t="s">
        <v>1076</v>
      </c>
    </row>
    <row r="141" customFormat="false" ht="216.4" hidden="false" customHeight="false" outlineLevel="0" collapsed="false">
      <c r="A141" s="5" t="s">
        <v>1077</v>
      </c>
      <c r="B141" s="5" t="s">
        <v>475</v>
      </c>
      <c r="C141" s="5" t="n">
        <v>2</v>
      </c>
      <c r="D141" s="5" t="s">
        <v>262</v>
      </c>
      <c r="E141" s="5" t="s">
        <v>263</v>
      </c>
      <c r="F141" s="5" t="n">
        <v>2024</v>
      </c>
      <c r="G141" s="5" t="s">
        <v>385</v>
      </c>
      <c r="H141" s="5" t="s">
        <v>223</v>
      </c>
      <c r="I141" s="5" t="s">
        <v>264</v>
      </c>
      <c r="J141" s="5" t="s">
        <v>463</v>
      </c>
      <c r="K141" s="5" t="s">
        <v>464</v>
      </c>
      <c r="L141" s="5" t="s">
        <v>465</v>
      </c>
      <c r="M141" s="5" t="s">
        <v>466</v>
      </c>
      <c r="N141" s="5" t="s">
        <v>476</v>
      </c>
      <c r="O141" s="5" t="s">
        <v>1078</v>
      </c>
    </row>
    <row r="142" customFormat="false" ht="229.85" hidden="false" customHeight="false" outlineLevel="0" collapsed="false">
      <c r="A142" s="5" t="s">
        <v>1079</v>
      </c>
      <c r="B142" s="5" t="s">
        <v>72</v>
      </c>
      <c r="C142" s="5" t="n">
        <v>1</v>
      </c>
      <c r="D142" s="5" t="s">
        <v>1080</v>
      </c>
      <c r="E142" s="5" t="s">
        <v>1081</v>
      </c>
      <c r="F142" s="5" t="n">
        <v>2024</v>
      </c>
      <c r="G142" s="5" t="s">
        <v>385</v>
      </c>
      <c r="H142" s="5" t="s">
        <v>223</v>
      </c>
      <c r="I142" s="5" t="s">
        <v>1082</v>
      </c>
      <c r="J142" s="5" t="s">
        <v>388</v>
      </c>
      <c r="K142" s="5" t="s">
        <v>448</v>
      </c>
      <c r="L142" s="5" t="s">
        <v>390</v>
      </c>
      <c r="M142" s="5" t="s">
        <v>391</v>
      </c>
      <c r="N142" s="5" t="s">
        <v>405</v>
      </c>
      <c r="O142" s="5" t="s">
        <v>1083</v>
      </c>
    </row>
    <row r="143" customFormat="false" ht="135.8" hidden="false" customHeight="false" outlineLevel="0" collapsed="false">
      <c r="A143" s="5" t="s">
        <v>1084</v>
      </c>
      <c r="B143" s="5" t="s">
        <v>73</v>
      </c>
      <c r="C143" s="5" t="n">
        <v>1</v>
      </c>
      <c r="D143" s="5" t="s">
        <v>1085</v>
      </c>
      <c r="E143" s="5" t="s">
        <v>1086</v>
      </c>
      <c r="F143" s="5" t="n">
        <v>2022</v>
      </c>
      <c r="G143" s="5" t="s">
        <v>385</v>
      </c>
      <c r="H143" s="5" t="s">
        <v>1087</v>
      </c>
      <c r="I143" s="5" t="s">
        <v>1088</v>
      </c>
      <c r="J143" s="5" t="s">
        <v>388</v>
      </c>
      <c r="K143" s="5" t="s">
        <v>448</v>
      </c>
      <c r="L143" s="5" t="s">
        <v>390</v>
      </c>
      <c r="M143" s="5" t="s">
        <v>391</v>
      </c>
      <c r="N143" s="5" t="s">
        <v>398</v>
      </c>
      <c r="O143" s="5" t="s">
        <v>1089</v>
      </c>
    </row>
    <row r="144" customFormat="false" ht="202.95" hidden="false" customHeight="false" outlineLevel="0" collapsed="false">
      <c r="A144" s="5" t="s">
        <v>1090</v>
      </c>
      <c r="B144" s="5" t="s">
        <v>73</v>
      </c>
      <c r="C144" s="5" t="n">
        <v>1</v>
      </c>
      <c r="D144" s="5" t="s">
        <v>1091</v>
      </c>
      <c r="E144" s="5" t="s">
        <v>1092</v>
      </c>
      <c r="F144" s="5" t="n">
        <v>2026</v>
      </c>
      <c r="G144" s="5" t="s">
        <v>385</v>
      </c>
      <c r="H144" s="5" t="s">
        <v>924</v>
      </c>
      <c r="I144" s="5" t="s">
        <v>1093</v>
      </c>
      <c r="J144" s="5" t="s">
        <v>388</v>
      </c>
      <c r="K144" s="5" t="s">
        <v>389</v>
      </c>
      <c r="L144" s="5" t="s">
        <v>390</v>
      </c>
      <c r="M144" s="5" t="s">
        <v>391</v>
      </c>
      <c r="N144" s="5" t="s">
        <v>398</v>
      </c>
      <c r="O144" s="5" t="s">
        <v>1094</v>
      </c>
    </row>
    <row r="145" customFormat="false" ht="229.85" hidden="false" customHeight="false" outlineLevel="0" collapsed="false">
      <c r="A145" s="5" t="s">
        <v>1095</v>
      </c>
      <c r="B145" s="5" t="s">
        <v>72</v>
      </c>
      <c r="C145" s="5" t="n">
        <v>1</v>
      </c>
      <c r="D145" s="5" t="s">
        <v>1096</v>
      </c>
      <c r="E145" s="5" t="s">
        <v>1097</v>
      </c>
      <c r="F145" s="5" t="n">
        <v>2020</v>
      </c>
      <c r="G145" s="5" t="s">
        <v>385</v>
      </c>
      <c r="H145" s="5" t="s">
        <v>559</v>
      </c>
      <c r="I145" s="5" t="s">
        <v>1098</v>
      </c>
      <c r="J145" s="5" t="s">
        <v>388</v>
      </c>
      <c r="K145" s="5" t="s">
        <v>448</v>
      </c>
      <c r="L145" s="5" t="s">
        <v>390</v>
      </c>
      <c r="M145" s="5" t="s">
        <v>391</v>
      </c>
      <c r="N145" s="5" t="s">
        <v>405</v>
      </c>
      <c r="O145" s="5" t="s">
        <v>1099</v>
      </c>
    </row>
    <row r="146" customFormat="false" ht="202.95" hidden="false" customHeight="false" outlineLevel="0" collapsed="false">
      <c r="A146" s="5" t="s">
        <v>1100</v>
      </c>
      <c r="B146" s="5" t="s">
        <v>72</v>
      </c>
      <c r="C146" s="5" t="n">
        <v>1</v>
      </c>
      <c r="D146" s="5" t="s">
        <v>1101</v>
      </c>
      <c r="E146" s="5" t="s">
        <v>1102</v>
      </c>
      <c r="F146" s="5" t="n">
        <v>2024</v>
      </c>
      <c r="G146" s="5" t="s">
        <v>385</v>
      </c>
      <c r="H146" s="5" t="s">
        <v>223</v>
      </c>
      <c r="I146" s="5" t="s">
        <v>1103</v>
      </c>
      <c r="J146" s="5" t="s">
        <v>388</v>
      </c>
      <c r="K146" s="5" t="s">
        <v>448</v>
      </c>
      <c r="L146" s="5" t="s">
        <v>390</v>
      </c>
      <c r="M146" s="5" t="s">
        <v>391</v>
      </c>
      <c r="N146" s="5" t="s">
        <v>405</v>
      </c>
      <c r="O146" s="5" t="s">
        <v>1104</v>
      </c>
    </row>
    <row r="147" customFormat="false" ht="202.95" hidden="false" customHeight="false" outlineLevel="0" collapsed="false">
      <c r="A147" s="5" t="s">
        <v>1105</v>
      </c>
      <c r="B147" s="5" t="s">
        <v>69</v>
      </c>
      <c r="C147" s="5" t="n">
        <v>1</v>
      </c>
      <c r="D147" s="5" t="s">
        <v>1106</v>
      </c>
      <c r="E147" s="5" t="s">
        <v>1107</v>
      </c>
      <c r="F147" s="5" t="n">
        <v>2022</v>
      </c>
      <c r="G147" s="5" t="s">
        <v>385</v>
      </c>
      <c r="H147" s="5" t="s">
        <v>1108</v>
      </c>
      <c r="I147" s="5" t="s">
        <v>1109</v>
      </c>
      <c r="J147" s="5" t="s">
        <v>388</v>
      </c>
      <c r="K147" s="5" t="s">
        <v>436</v>
      </c>
      <c r="L147" s="5" t="s">
        <v>390</v>
      </c>
      <c r="M147" s="5" t="s">
        <v>391</v>
      </c>
      <c r="N147" s="5" t="s">
        <v>392</v>
      </c>
      <c r="O147" s="5" t="s">
        <v>1110</v>
      </c>
    </row>
    <row r="148" customFormat="false" ht="162.65" hidden="false" customHeight="false" outlineLevel="0" collapsed="false">
      <c r="A148" s="5" t="s">
        <v>1111</v>
      </c>
      <c r="B148" s="5" t="s">
        <v>69</v>
      </c>
      <c r="C148" s="5" t="n">
        <v>1</v>
      </c>
      <c r="D148" s="5" t="s">
        <v>1112</v>
      </c>
      <c r="E148" s="5" t="s">
        <v>1113</v>
      </c>
      <c r="F148" s="5" t="n">
        <v>2024</v>
      </c>
      <c r="G148" s="5" t="s">
        <v>385</v>
      </c>
      <c r="H148" s="5" t="s">
        <v>1114</v>
      </c>
      <c r="I148" s="5" t="s">
        <v>1115</v>
      </c>
      <c r="J148" s="5" t="s">
        <v>388</v>
      </c>
      <c r="K148" s="5" t="s">
        <v>448</v>
      </c>
      <c r="L148" s="5" t="s">
        <v>390</v>
      </c>
      <c r="M148" s="5" t="s">
        <v>391</v>
      </c>
      <c r="N148" s="5" t="s">
        <v>392</v>
      </c>
      <c r="O148" s="5" t="s">
        <v>1116</v>
      </c>
    </row>
    <row r="149" customFormat="false" ht="162.65" hidden="false" customHeight="false" outlineLevel="0" collapsed="false">
      <c r="A149" s="5" t="s">
        <v>1117</v>
      </c>
      <c r="B149" s="5" t="s">
        <v>73</v>
      </c>
      <c r="C149" s="5" t="n">
        <v>1</v>
      </c>
      <c r="D149" s="5" t="s">
        <v>1118</v>
      </c>
      <c r="E149" s="5" t="s">
        <v>1119</v>
      </c>
      <c r="F149" s="5" t="n">
        <v>2025</v>
      </c>
      <c r="G149" s="5" t="s">
        <v>385</v>
      </c>
      <c r="H149" s="5" t="s">
        <v>228</v>
      </c>
      <c r="I149" s="5" t="s">
        <v>1120</v>
      </c>
      <c r="J149" s="5" t="s">
        <v>388</v>
      </c>
      <c r="K149" s="5" t="s">
        <v>389</v>
      </c>
      <c r="L149" s="5" t="s">
        <v>390</v>
      </c>
      <c r="M149" s="5" t="s">
        <v>391</v>
      </c>
      <c r="N149" s="5" t="s">
        <v>398</v>
      </c>
      <c r="O149" s="5" t="s">
        <v>1121</v>
      </c>
    </row>
    <row r="150" customFormat="false" ht="189.55" hidden="false" customHeight="false" outlineLevel="0" collapsed="false">
      <c r="A150" s="5" t="s">
        <v>1122</v>
      </c>
      <c r="B150" s="5" t="s">
        <v>73</v>
      </c>
      <c r="C150" s="5" t="n">
        <v>1</v>
      </c>
      <c r="D150" s="5" t="s">
        <v>1123</v>
      </c>
      <c r="E150" s="5" t="s">
        <v>1124</v>
      </c>
      <c r="F150" s="5" t="n">
        <v>2020</v>
      </c>
      <c r="G150" s="5" t="s">
        <v>385</v>
      </c>
      <c r="H150" s="5" t="s">
        <v>228</v>
      </c>
      <c r="I150" s="5" t="s">
        <v>1125</v>
      </c>
      <c r="J150" s="5" t="s">
        <v>388</v>
      </c>
      <c r="K150" s="5" t="s">
        <v>389</v>
      </c>
      <c r="L150" s="5" t="s">
        <v>390</v>
      </c>
      <c r="M150" s="5" t="s">
        <v>391</v>
      </c>
      <c r="N150" s="5" t="s">
        <v>398</v>
      </c>
      <c r="O150" s="5" t="s">
        <v>1126</v>
      </c>
    </row>
    <row r="151" customFormat="false" ht="149.25" hidden="false" customHeight="false" outlineLevel="0" collapsed="false">
      <c r="A151" s="5" t="s">
        <v>1127</v>
      </c>
      <c r="B151" s="5" t="s">
        <v>69</v>
      </c>
      <c r="C151" s="5" t="n">
        <v>1</v>
      </c>
      <c r="D151" s="5" t="s">
        <v>1128</v>
      </c>
      <c r="E151" s="5" t="s">
        <v>1129</v>
      </c>
      <c r="F151" s="5" t="n">
        <v>2024</v>
      </c>
      <c r="G151" s="5" t="s">
        <v>385</v>
      </c>
      <c r="H151" s="5" t="s">
        <v>507</v>
      </c>
      <c r="I151" s="5" t="s">
        <v>1130</v>
      </c>
      <c r="J151" s="5" t="s">
        <v>388</v>
      </c>
      <c r="K151" s="5" t="s">
        <v>448</v>
      </c>
      <c r="L151" s="5" t="s">
        <v>390</v>
      </c>
      <c r="M151" s="5" t="s">
        <v>391</v>
      </c>
      <c r="N151" s="5" t="s">
        <v>392</v>
      </c>
      <c r="O151" s="5" t="s">
        <v>1131</v>
      </c>
    </row>
    <row r="152" customFormat="false" ht="162.65" hidden="false" customHeight="false" outlineLevel="0" collapsed="false">
      <c r="A152" s="5" t="s">
        <v>1132</v>
      </c>
      <c r="B152" s="5" t="s">
        <v>69</v>
      </c>
      <c r="C152" s="5" t="n">
        <v>1</v>
      </c>
      <c r="D152" s="5" t="s">
        <v>1133</v>
      </c>
      <c r="E152" s="5" t="s">
        <v>1134</v>
      </c>
      <c r="F152" s="5" t="n">
        <v>2024</v>
      </c>
      <c r="G152" s="5" t="s">
        <v>385</v>
      </c>
      <c r="H152" s="5" t="s">
        <v>1135</v>
      </c>
      <c r="I152" s="5" t="s">
        <v>1136</v>
      </c>
      <c r="J152" s="5" t="s">
        <v>388</v>
      </c>
      <c r="K152" s="5" t="s">
        <v>389</v>
      </c>
      <c r="L152" s="5" t="s">
        <v>390</v>
      </c>
      <c r="M152" s="5" t="s">
        <v>391</v>
      </c>
      <c r="N152" s="5" t="s">
        <v>392</v>
      </c>
      <c r="O152" s="5" t="s">
        <v>1137</v>
      </c>
    </row>
    <row r="153" customFormat="false" ht="270.1" hidden="false" customHeight="false" outlineLevel="0" collapsed="false">
      <c r="A153" s="5" t="s">
        <v>1138</v>
      </c>
      <c r="B153" s="5" t="s">
        <v>69</v>
      </c>
      <c r="C153" s="5" t="n">
        <v>1</v>
      </c>
      <c r="D153" s="5" t="s">
        <v>1139</v>
      </c>
      <c r="E153" s="5" t="s">
        <v>1140</v>
      </c>
      <c r="F153" s="5" t="n">
        <v>2023</v>
      </c>
      <c r="G153" s="5" t="s">
        <v>385</v>
      </c>
      <c r="H153" s="5" t="s">
        <v>233</v>
      </c>
      <c r="I153" s="5" t="s">
        <v>1141</v>
      </c>
      <c r="J153" s="5" t="s">
        <v>388</v>
      </c>
      <c r="K153" s="5" t="s">
        <v>436</v>
      </c>
      <c r="L153" s="5" t="s">
        <v>390</v>
      </c>
      <c r="M153" s="5" t="s">
        <v>391</v>
      </c>
      <c r="N153" s="5" t="s">
        <v>392</v>
      </c>
      <c r="O153" s="5" t="s">
        <v>1142</v>
      </c>
    </row>
    <row r="154" customFormat="false" ht="149.25" hidden="false" customHeight="false" outlineLevel="0" collapsed="false">
      <c r="A154" s="5" t="s">
        <v>1143</v>
      </c>
      <c r="B154" s="5" t="s">
        <v>69</v>
      </c>
      <c r="C154" s="5" t="n">
        <v>1</v>
      </c>
      <c r="D154" s="5" t="s">
        <v>231</v>
      </c>
      <c r="E154" s="5" t="s">
        <v>232</v>
      </c>
      <c r="F154" s="5" t="n">
        <v>2022</v>
      </c>
      <c r="G154" s="5" t="s">
        <v>385</v>
      </c>
      <c r="H154" s="5" t="s">
        <v>233</v>
      </c>
      <c r="I154" s="5" t="s">
        <v>234</v>
      </c>
      <c r="J154" s="5" t="s">
        <v>463</v>
      </c>
      <c r="K154" s="5" t="s">
        <v>464</v>
      </c>
      <c r="L154" s="5" t="s">
        <v>465</v>
      </c>
      <c r="M154" s="5" t="s">
        <v>466</v>
      </c>
      <c r="N154" s="5" t="s">
        <v>392</v>
      </c>
      <c r="O154" s="5" t="s">
        <v>1144</v>
      </c>
    </row>
    <row r="155" customFormat="false" ht="471.6" hidden="false" customHeight="false" outlineLevel="0" collapsed="false">
      <c r="A155" s="5" t="s">
        <v>1145</v>
      </c>
      <c r="B155" s="5" t="s">
        <v>72</v>
      </c>
      <c r="C155" s="5" t="n">
        <v>1</v>
      </c>
      <c r="D155" s="5" t="s">
        <v>1146</v>
      </c>
      <c r="E155" s="5" t="s">
        <v>1147</v>
      </c>
      <c r="F155" s="5" t="n">
        <v>2024</v>
      </c>
      <c r="G155" s="5" t="s">
        <v>385</v>
      </c>
      <c r="H155" s="5" t="s">
        <v>1148</v>
      </c>
      <c r="I155" s="5" t="s">
        <v>1149</v>
      </c>
      <c r="J155" s="5" t="s">
        <v>388</v>
      </c>
      <c r="K155" s="5" t="s">
        <v>448</v>
      </c>
      <c r="L155" s="5" t="s">
        <v>390</v>
      </c>
      <c r="M155" s="5" t="s">
        <v>391</v>
      </c>
      <c r="N155" s="5" t="s">
        <v>405</v>
      </c>
      <c r="O155" s="5" t="s">
        <v>1150</v>
      </c>
    </row>
    <row r="156" customFormat="false" ht="216.4" hidden="false" customHeight="false" outlineLevel="0" collapsed="false">
      <c r="A156" s="5" t="s">
        <v>1151</v>
      </c>
      <c r="B156" s="5" t="s">
        <v>73</v>
      </c>
      <c r="C156" s="5" t="n">
        <v>1</v>
      </c>
      <c r="D156" s="5" t="s">
        <v>1152</v>
      </c>
      <c r="E156" s="5" t="s">
        <v>1153</v>
      </c>
      <c r="F156" s="5" t="n">
        <v>2024</v>
      </c>
      <c r="G156" s="5" t="s">
        <v>385</v>
      </c>
      <c r="H156" s="5" t="s">
        <v>228</v>
      </c>
      <c r="I156" s="5" t="s">
        <v>1154</v>
      </c>
      <c r="J156" s="5" t="s">
        <v>388</v>
      </c>
      <c r="K156" s="5" t="s">
        <v>397</v>
      </c>
      <c r="L156" s="5" t="s">
        <v>390</v>
      </c>
      <c r="M156" s="5" t="s">
        <v>391</v>
      </c>
      <c r="N156" s="5" t="s">
        <v>398</v>
      </c>
      <c r="O156" s="5" t="s">
        <v>1155</v>
      </c>
    </row>
    <row r="157" customFormat="false" ht="162.65" hidden="false" customHeight="false" outlineLevel="0" collapsed="false">
      <c r="A157" s="5" t="s">
        <v>1156</v>
      </c>
      <c r="B157" s="5" t="s">
        <v>69</v>
      </c>
      <c r="C157" s="5" t="n">
        <v>1</v>
      </c>
      <c r="D157" s="5" t="s">
        <v>1157</v>
      </c>
      <c r="E157" s="5" t="s">
        <v>1158</v>
      </c>
      <c r="F157" s="5" t="n">
        <v>2023</v>
      </c>
      <c r="G157" s="5" t="s">
        <v>385</v>
      </c>
      <c r="H157" s="5" t="s">
        <v>233</v>
      </c>
      <c r="I157" s="5" t="s">
        <v>1159</v>
      </c>
      <c r="J157" s="5" t="s">
        <v>388</v>
      </c>
      <c r="K157" s="5" t="s">
        <v>389</v>
      </c>
      <c r="L157" s="5" t="s">
        <v>390</v>
      </c>
      <c r="M157" s="5" t="s">
        <v>391</v>
      </c>
      <c r="N157" s="5" t="s">
        <v>392</v>
      </c>
      <c r="O157" s="5" t="s">
        <v>1160</v>
      </c>
    </row>
    <row r="158" customFormat="false" ht="189.55" hidden="false" customHeight="false" outlineLevel="0" collapsed="false">
      <c r="A158" s="5" t="s">
        <v>1161</v>
      </c>
      <c r="B158" s="5" t="s">
        <v>72</v>
      </c>
      <c r="C158" s="5" t="n">
        <v>1</v>
      </c>
      <c r="D158" s="5" t="s">
        <v>1162</v>
      </c>
      <c r="E158" s="5" t="s">
        <v>1163</v>
      </c>
      <c r="F158" s="5" t="n">
        <v>2025</v>
      </c>
      <c r="G158" s="5" t="s">
        <v>385</v>
      </c>
      <c r="H158" s="5" t="s">
        <v>249</v>
      </c>
      <c r="I158" s="5" t="s">
        <v>1164</v>
      </c>
      <c r="J158" s="5" t="s">
        <v>388</v>
      </c>
      <c r="K158" s="5" t="s">
        <v>397</v>
      </c>
      <c r="L158" s="5" t="s">
        <v>390</v>
      </c>
      <c r="M158" s="5" t="s">
        <v>391</v>
      </c>
      <c r="N158" s="5" t="s">
        <v>405</v>
      </c>
      <c r="O158" s="5" t="s">
        <v>1165</v>
      </c>
    </row>
    <row r="159" customFormat="false" ht="122.35" hidden="false" customHeight="false" outlineLevel="0" collapsed="false">
      <c r="A159" s="5" t="s">
        <v>1166</v>
      </c>
      <c r="B159" s="5" t="s">
        <v>462</v>
      </c>
      <c r="C159" s="5" t="n">
        <v>2</v>
      </c>
      <c r="D159" s="5" t="s">
        <v>1167</v>
      </c>
      <c r="E159" s="5" t="s">
        <v>1168</v>
      </c>
      <c r="F159" s="5" t="n">
        <v>2018</v>
      </c>
      <c r="G159" s="5" t="s">
        <v>385</v>
      </c>
      <c r="H159" s="5" t="s">
        <v>673</v>
      </c>
      <c r="I159" s="5" t="s">
        <v>1169</v>
      </c>
      <c r="J159" s="5" t="s">
        <v>388</v>
      </c>
      <c r="K159" s="5" t="s">
        <v>389</v>
      </c>
      <c r="L159" s="5" t="s">
        <v>390</v>
      </c>
      <c r="M159" s="5" t="s">
        <v>391</v>
      </c>
      <c r="N159" s="5" t="s">
        <v>467</v>
      </c>
      <c r="O159" s="5" t="s">
        <v>1170</v>
      </c>
    </row>
    <row r="160" customFormat="false" ht="28.35" hidden="false" customHeight="false" outlineLevel="0" collapsed="false">
      <c r="A160" s="5" t="s">
        <v>1171</v>
      </c>
      <c r="B160" s="5" t="s">
        <v>72</v>
      </c>
      <c r="C160" s="5" t="n">
        <v>1</v>
      </c>
      <c r="D160" s="5" t="s">
        <v>288</v>
      </c>
      <c r="E160" s="5" t="s">
        <v>289</v>
      </c>
      <c r="F160" s="5" t="n">
        <v>2025</v>
      </c>
      <c r="G160" s="5" t="s">
        <v>385</v>
      </c>
      <c r="H160" s="5" t="s">
        <v>276</v>
      </c>
      <c r="I160" s="5" t="s">
        <v>290</v>
      </c>
      <c r="J160" s="5" t="s">
        <v>463</v>
      </c>
      <c r="K160" s="5" t="s">
        <v>1172</v>
      </c>
      <c r="L160" s="5" t="s">
        <v>465</v>
      </c>
      <c r="M160" s="5" t="s">
        <v>466</v>
      </c>
      <c r="N160" s="5" t="s">
        <v>405</v>
      </c>
      <c r="O160" s="5"/>
    </row>
    <row r="161" customFormat="false" ht="256.7" hidden="false" customHeight="false" outlineLevel="0" collapsed="false">
      <c r="A161" s="5" t="s">
        <v>1173</v>
      </c>
      <c r="B161" s="5" t="s">
        <v>73</v>
      </c>
      <c r="C161" s="5" t="n">
        <v>1</v>
      </c>
      <c r="D161" s="5" t="s">
        <v>1174</v>
      </c>
      <c r="E161" s="5" t="s">
        <v>1175</v>
      </c>
      <c r="F161" s="5" t="n">
        <v>2026</v>
      </c>
      <c r="G161" s="5" t="s">
        <v>385</v>
      </c>
      <c r="H161" s="5" t="s">
        <v>228</v>
      </c>
      <c r="I161" s="5" t="s">
        <v>1176</v>
      </c>
      <c r="J161" s="5" t="s">
        <v>388</v>
      </c>
      <c r="K161" s="5" t="s">
        <v>397</v>
      </c>
      <c r="L161" s="5" t="s">
        <v>390</v>
      </c>
      <c r="M161" s="5" t="s">
        <v>391</v>
      </c>
      <c r="N161" s="5" t="s">
        <v>398</v>
      </c>
      <c r="O161" s="5" t="s">
        <v>1177</v>
      </c>
    </row>
    <row r="162" customFormat="false" ht="41.75" hidden="false" customHeight="false" outlineLevel="0" collapsed="false">
      <c r="A162" s="5" t="s">
        <v>1178</v>
      </c>
      <c r="B162" s="5" t="s">
        <v>69</v>
      </c>
      <c r="C162" s="5" t="n">
        <v>1</v>
      </c>
      <c r="D162" s="5" t="s">
        <v>1179</v>
      </c>
      <c r="E162" s="5" t="s">
        <v>1180</v>
      </c>
      <c r="F162" s="5" t="n">
        <v>2023</v>
      </c>
      <c r="G162" s="5" t="s">
        <v>385</v>
      </c>
      <c r="H162" s="5" t="s">
        <v>1181</v>
      </c>
      <c r="I162" s="5" t="s">
        <v>1182</v>
      </c>
      <c r="J162" s="5" t="s">
        <v>388</v>
      </c>
      <c r="K162" s="5" t="s">
        <v>397</v>
      </c>
      <c r="L162" s="5" t="s">
        <v>390</v>
      </c>
      <c r="M162" s="5" t="s">
        <v>391</v>
      </c>
      <c r="N162" s="5" t="s">
        <v>392</v>
      </c>
      <c r="O162" s="5"/>
    </row>
    <row r="163" customFormat="false" ht="216.4" hidden="false" customHeight="false" outlineLevel="0" collapsed="false">
      <c r="A163" s="5" t="s">
        <v>1183</v>
      </c>
      <c r="B163" s="5" t="s">
        <v>72</v>
      </c>
      <c r="C163" s="5" t="n">
        <v>1</v>
      </c>
      <c r="D163" s="5" t="s">
        <v>1184</v>
      </c>
      <c r="E163" s="5" t="s">
        <v>1185</v>
      </c>
      <c r="F163" s="5" t="n">
        <v>2025</v>
      </c>
      <c r="G163" s="5" t="s">
        <v>385</v>
      </c>
      <c r="H163" s="5" t="s">
        <v>276</v>
      </c>
      <c r="I163" s="5" t="s">
        <v>1186</v>
      </c>
      <c r="J163" s="5" t="s">
        <v>388</v>
      </c>
      <c r="K163" s="5" t="s">
        <v>448</v>
      </c>
      <c r="L163" s="5" t="s">
        <v>390</v>
      </c>
      <c r="M163" s="5" t="s">
        <v>391</v>
      </c>
      <c r="N163" s="5" t="s">
        <v>405</v>
      </c>
      <c r="O163" s="5" t="s">
        <v>1187</v>
      </c>
    </row>
    <row r="164" customFormat="false" ht="189.55" hidden="false" customHeight="false" outlineLevel="0" collapsed="false">
      <c r="A164" s="5" t="s">
        <v>1188</v>
      </c>
      <c r="B164" s="5" t="s">
        <v>73</v>
      </c>
      <c r="C164" s="5" t="n">
        <v>1</v>
      </c>
      <c r="D164" s="5" t="s">
        <v>1189</v>
      </c>
      <c r="E164" s="5" t="s">
        <v>1190</v>
      </c>
      <c r="F164" s="5" t="n">
        <v>2023</v>
      </c>
      <c r="G164" s="5" t="s">
        <v>385</v>
      </c>
      <c r="H164" s="5" t="s">
        <v>1191</v>
      </c>
      <c r="I164" s="5" t="s">
        <v>1192</v>
      </c>
      <c r="J164" s="5" t="s">
        <v>388</v>
      </c>
      <c r="K164" s="5" t="s">
        <v>397</v>
      </c>
      <c r="L164" s="5" t="s">
        <v>390</v>
      </c>
      <c r="M164" s="5" t="s">
        <v>391</v>
      </c>
      <c r="N164" s="5" t="s">
        <v>398</v>
      </c>
      <c r="O164" s="5" t="s">
        <v>1193</v>
      </c>
    </row>
    <row r="165" customFormat="false" ht="243.25" hidden="false" customHeight="false" outlineLevel="0" collapsed="false">
      <c r="A165" s="5" t="s">
        <v>1194</v>
      </c>
      <c r="B165" s="5" t="s">
        <v>72</v>
      </c>
      <c r="C165" s="5" t="n">
        <v>1</v>
      </c>
      <c r="D165" s="5" t="s">
        <v>1195</v>
      </c>
      <c r="E165" s="5" t="s">
        <v>1196</v>
      </c>
      <c r="F165" s="5" t="n">
        <v>2024</v>
      </c>
      <c r="G165" s="5" t="s">
        <v>385</v>
      </c>
      <c r="H165" s="5" t="s">
        <v>1197</v>
      </c>
      <c r="I165" s="5" t="s">
        <v>1198</v>
      </c>
      <c r="J165" s="5" t="s">
        <v>388</v>
      </c>
      <c r="K165" s="5" t="s">
        <v>397</v>
      </c>
      <c r="L165" s="5" t="s">
        <v>390</v>
      </c>
      <c r="M165" s="5" t="s">
        <v>391</v>
      </c>
      <c r="N165" s="5" t="s">
        <v>405</v>
      </c>
      <c r="O165" s="5" t="s">
        <v>1199</v>
      </c>
    </row>
    <row r="166" customFormat="false" ht="176.1" hidden="false" customHeight="false" outlineLevel="0" collapsed="false">
      <c r="A166" s="5" t="s">
        <v>1200</v>
      </c>
      <c r="B166" s="5" t="s">
        <v>72</v>
      </c>
      <c r="C166" s="5" t="n">
        <v>1</v>
      </c>
      <c r="D166" s="5" t="s">
        <v>1201</v>
      </c>
      <c r="E166" s="5" t="s">
        <v>1202</v>
      </c>
      <c r="F166" s="5" t="n">
        <v>2021</v>
      </c>
      <c r="G166" s="5" t="s">
        <v>385</v>
      </c>
      <c r="H166" s="5" t="s">
        <v>276</v>
      </c>
      <c r="I166" s="5" t="s">
        <v>1203</v>
      </c>
      <c r="J166" s="5" t="s">
        <v>388</v>
      </c>
      <c r="K166" s="5" t="s">
        <v>448</v>
      </c>
      <c r="L166" s="5" t="s">
        <v>390</v>
      </c>
      <c r="M166" s="5" t="s">
        <v>391</v>
      </c>
      <c r="N166" s="5" t="s">
        <v>405</v>
      </c>
      <c r="O166" s="5" t="s">
        <v>1204</v>
      </c>
    </row>
    <row r="167" customFormat="false" ht="122.35" hidden="false" customHeight="false" outlineLevel="0" collapsed="false">
      <c r="A167" s="5" t="s">
        <v>1205</v>
      </c>
      <c r="B167" s="5" t="s">
        <v>72</v>
      </c>
      <c r="C167" s="5" t="n">
        <v>1</v>
      </c>
      <c r="D167" s="5" t="s">
        <v>1206</v>
      </c>
      <c r="E167" s="5" t="s">
        <v>1207</v>
      </c>
      <c r="F167" s="5" t="n">
        <v>2023</v>
      </c>
      <c r="G167" s="5" t="s">
        <v>385</v>
      </c>
      <c r="H167" s="5" t="s">
        <v>249</v>
      </c>
      <c r="I167" s="5" t="s">
        <v>1208</v>
      </c>
      <c r="J167" s="5" t="s">
        <v>941</v>
      </c>
      <c r="K167" s="5" t="s">
        <v>1209</v>
      </c>
      <c r="L167" s="5" t="s">
        <v>428</v>
      </c>
      <c r="M167" s="5" t="s">
        <v>943</v>
      </c>
      <c r="N167" s="5" t="s">
        <v>405</v>
      </c>
      <c r="O167" s="5"/>
    </row>
    <row r="168" customFormat="false" ht="122.35" hidden="false" customHeight="false" outlineLevel="0" collapsed="false">
      <c r="A168" s="5" t="s">
        <v>1210</v>
      </c>
      <c r="B168" s="5" t="s">
        <v>73</v>
      </c>
      <c r="C168" s="5" t="n">
        <v>1</v>
      </c>
      <c r="D168" s="5" t="s">
        <v>1211</v>
      </c>
      <c r="E168" s="5" t="s">
        <v>1212</v>
      </c>
      <c r="F168" s="5" t="n">
        <v>2020</v>
      </c>
      <c r="G168" s="5" t="s">
        <v>385</v>
      </c>
      <c r="H168" s="5" t="s">
        <v>1213</v>
      </c>
      <c r="I168" s="5" t="s">
        <v>1214</v>
      </c>
      <c r="J168" s="5" t="s">
        <v>388</v>
      </c>
      <c r="K168" s="5" t="s">
        <v>448</v>
      </c>
      <c r="L168" s="5" t="s">
        <v>390</v>
      </c>
      <c r="M168" s="5" t="s">
        <v>391</v>
      </c>
      <c r="N168" s="5" t="s">
        <v>398</v>
      </c>
      <c r="O168" s="5" t="s">
        <v>1215</v>
      </c>
    </row>
    <row r="169" customFormat="false" ht="28.35" hidden="false" customHeight="false" outlineLevel="0" collapsed="false">
      <c r="A169" s="5" t="s">
        <v>1216</v>
      </c>
      <c r="B169" s="5" t="s">
        <v>72</v>
      </c>
      <c r="C169" s="5" t="n">
        <v>1</v>
      </c>
      <c r="D169" s="5" t="s">
        <v>197</v>
      </c>
      <c r="E169" s="5" t="s">
        <v>198</v>
      </c>
      <c r="F169" s="5" t="n">
        <v>2021</v>
      </c>
      <c r="G169" s="5" t="s">
        <v>385</v>
      </c>
      <c r="H169" s="5" t="s">
        <v>199</v>
      </c>
      <c r="I169" s="5" t="s">
        <v>200</v>
      </c>
      <c r="J169" s="5" t="s">
        <v>463</v>
      </c>
      <c r="K169" s="5" t="s">
        <v>464</v>
      </c>
      <c r="L169" s="5" t="s">
        <v>465</v>
      </c>
      <c r="M169" s="5" t="s">
        <v>466</v>
      </c>
      <c r="N169" s="5" t="s">
        <v>405</v>
      </c>
      <c r="O169" s="5"/>
    </row>
    <row r="170" customFormat="false" ht="189.55" hidden="false" customHeight="false" outlineLevel="0" collapsed="false">
      <c r="A170" s="5" t="s">
        <v>1217</v>
      </c>
      <c r="B170" s="5" t="s">
        <v>72</v>
      </c>
      <c r="C170" s="5" t="n">
        <v>1</v>
      </c>
      <c r="D170" s="5" t="s">
        <v>1218</v>
      </c>
      <c r="E170" s="5" t="s">
        <v>1219</v>
      </c>
      <c r="F170" s="5" t="n">
        <v>2024</v>
      </c>
      <c r="G170" s="5" t="s">
        <v>385</v>
      </c>
      <c r="H170" s="5" t="s">
        <v>223</v>
      </c>
      <c r="I170" s="5" t="s">
        <v>1220</v>
      </c>
      <c r="J170" s="5" t="s">
        <v>388</v>
      </c>
      <c r="K170" s="5" t="s">
        <v>397</v>
      </c>
      <c r="L170" s="5" t="s">
        <v>390</v>
      </c>
      <c r="M170" s="5" t="s">
        <v>391</v>
      </c>
      <c r="N170" s="5" t="s">
        <v>405</v>
      </c>
      <c r="O170" s="5" t="s">
        <v>1221</v>
      </c>
    </row>
    <row r="171" customFormat="false" ht="41.75" hidden="false" customHeight="false" outlineLevel="0" collapsed="false">
      <c r="A171" s="5" t="s">
        <v>1222</v>
      </c>
      <c r="B171" s="5" t="s">
        <v>69</v>
      </c>
      <c r="C171" s="5" t="n">
        <v>1</v>
      </c>
      <c r="D171" s="5" t="s">
        <v>1223</v>
      </c>
      <c r="E171" s="5" t="s">
        <v>1224</v>
      </c>
      <c r="F171" s="5" t="n">
        <v>2022</v>
      </c>
      <c r="G171" s="5" t="s">
        <v>385</v>
      </c>
      <c r="H171" s="5" t="s">
        <v>1225</v>
      </c>
      <c r="I171" s="5" t="s">
        <v>1226</v>
      </c>
      <c r="J171" s="5" t="s">
        <v>388</v>
      </c>
      <c r="K171" s="5" t="s">
        <v>397</v>
      </c>
      <c r="L171" s="5" t="s">
        <v>390</v>
      </c>
      <c r="M171" s="5" t="s">
        <v>391</v>
      </c>
      <c r="N171" s="5" t="s">
        <v>392</v>
      </c>
      <c r="O171" s="5"/>
    </row>
    <row r="172" customFormat="false" ht="202.95" hidden="false" customHeight="false" outlineLevel="0" collapsed="false">
      <c r="A172" s="5" t="s">
        <v>1227</v>
      </c>
      <c r="B172" s="5" t="s">
        <v>69</v>
      </c>
      <c r="C172" s="5" t="n">
        <v>1</v>
      </c>
      <c r="D172" s="5" t="s">
        <v>1228</v>
      </c>
      <c r="E172" s="5" t="s">
        <v>1229</v>
      </c>
      <c r="F172" s="5" t="n">
        <v>2021</v>
      </c>
      <c r="G172" s="5" t="s">
        <v>385</v>
      </c>
      <c r="H172" s="5" t="s">
        <v>1230</v>
      </c>
      <c r="I172" s="5" t="s">
        <v>1231</v>
      </c>
      <c r="J172" s="5" t="s">
        <v>388</v>
      </c>
      <c r="K172" s="5" t="s">
        <v>397</v>
      </c>
      <c r="L172" s="5" t="s">
        <v>390</v>
      </c>
      <c r="M172" s="5" t="s">
        <v>391</v>
      </c>
      <c r="N172" s="5" t="s">
        <v>392</v>
      </c>
      <c r="O172" s="5" t="s">
        <v>1232</v>
      </c>
    </row>
    <row r="173" customFormat="false" ht="135.8" hidden="false" customHeight="false" outlineLevel="0" collapsed="false">
      <c r="A173" s="5" t="s">
        <v>1233</v>
      </c>
      <c r="B173" s="5" t="s">
        <v>69</v>
      </c>
      <c r="C173" s="5" t="n">
        <v>1</v>
      </c>
      <c r="D173" s="5" t="s">
        <v>1234</v>
      </c>
      <c r="E173" s="5" t="s">
        <v>1235</v>
      </c>
      <c r="F173" s="5" t="n">
        <v>2021</v>
      </c>
      <c r="G173" s="5" t="s">
        <v>385</v>
      </c>
      <c r="H173" s="5" t="s">
        <v>233</v>
      </c>
      <c r="I173" s="5" t="s">
        <v>1236</v>
      </c>
      <c r="J173" s="5" t="s">
        <v>388</v>
      </c>
      <c r="K173" s="5" t="s">
        <v>448</v>
      </c>
      <c r="L173" s="5" t="s">
        <v>390</v>
      </c>
      <c r="M173" s="5" t="s">
        <v>391</v>
      </c>
      <c r="N173" s="5" t="s">
        <v>392</v>
      </c>
      <c r="O173" s="5" t="s">
        <v>1237</v>
      </c>
    </row>
    <row r="174" customFormat="false" ht="176.1" hidden="false" customHeight="false" outlineLevel="0" collapsed="false">
      <c r="A174" s="5" t="s">
        <v>1238</v>
      </c>
      <c r="B174" s="5" t="s">
        <v>73</v>
      </c>
      <c r="C174" s="5" t="n">
        <v>1</v>
      </c>
      <c r="D174" s="5" t="s">
        <v>1239</v>
      </c>
      <c r="E174" s="5" t="s">
        <v>1240</v>
      </c>
      <c r="F174" s="5" t="n">
        <v>2025</v>
      </c>
      <c r="G174" s="5" t="s">
        <v>385</v>
      </c>
      <c r="H174" s="5" t="s">
        <v>1241</v>
      </c>
      <c r="I174" s="5" t="s">
        <v>1242</v>
      </c>
      <c r="J174" s="5" t="s">
        <v>388</v>
      </c>
      <c r="K174" s="5" t="s">
        <v>397</v>
      </c>
      <c r="L174" s="5" t="s">
        <v>390</v>
      </c>
      <c r="M174" s="5" t="s">
        <v>391</v>
      </c>
      <c r="N174" s="5" t="s">
        <v>398</v>
      </c>
      <c r="O174" s="5" t="s">
        <v>1243</v>
      </c>
    </row>
    <row r="175" customFormat="false" ht="15" hidden="false" customHeight="false" outlineLevel="0" collapsed="false">
      <c r="A175" s="0" t="s">
        <v>1244</v>
      </c>
      <c r="B175" s="0" t="s">
        <v>72</v>
      </c>
      <c r="C175" s="0" t="n">
        <v>1</v>
      </c>
      <c r="D175" s="0" t="s">
        <v>1245</v>
      </c>
      <c r="E175" s="0" t="s">
        <v>1246</v>
      </c>
      <c r="F175" s="0" t="n">
        <v>2023</v>
      </c>
      <c r="G175" s="0" t="s">
        <v>385</v>
      </c>
      <c r="H175" s="0" t="s">
        <v>1247</v>
      </c>
      <c r="I175" s="0" t="s">
        <v>1248</v>
      </c>
      <c r="J175" s="18" t="s">
        <v>388</v>
      </c>
      <c r="K175" s="0" t="s">
        <v>397</v>
      </c>
      <c r="L175" s="0" t="s">
        <v>390</v>
      </c>
      <c r="M175" s="0" t="s">
        <v>391</v>
      </c>
      <c r="N175" s="0" t="s">
        <v>405</v>
      </c>
      <c r="O175" s="0" t="s">
        <v>1249</v>
      </c>
    </row>
  </sheetData>
  <mergeCells count="1">
    <mergeCell ref="A1:O1"/>
  </mergeCells>
  <conditionalFormatting sqref="J4:J175">
    <cfRule type="containsText" priority="2" operator="containsText" aboveAverage="0" equalAverage="0" bottom="0" percent="0" rank="0" text="Include" dxfId="4">
      <formula>NOT(ISERROR(SEARCH("Include",J4)))</formula>
    </cfRule>
    <cfRule type="containsText" priority="3" operator="containsText" aboveAverage="0" equalAverage="0" bottom="0" percent="0" rank="0" text="Contextual" dxfId="7">
      <formula>NOT(ISERROR(SEARCH("Contextual",J4)))</formula>
    </cfRule>
    <cfRule type="containsText" priority="4" operator="containsText" aboveAverage="0" equalAverage="0" bottom="0" percent="0" rank="0" text="Exclude" dxfId="8">
      <formula>NOT(ISERROR(SEARCH("Exclude",J4)))</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11"/>
    <col collapsed="false" customWidth="true" hidden="false" outlineLevel="0" max="4" min="4" style="0" width="58"/>
    <col collapsed="false" customWidth="true" hidden="false" outlineLevel="0" max="5" min="5" style="0" width="42"/>
    <col collapsed="false" customWidth="true" hidden="false" outlineLevel="0" max="6" min="6" style="0" width="9"/>
    <col collapsed="false" customWidth="true" hidden="false" outlineLevel="0" max="7" min="7" style="0" width="10"/>
    <col collapsed="false" customWidth="true" hidden="false" outlineLevel="0" max="8" min="8" style="0" width="31"/>
    <col collapsed="false" customWidth="true" hidden="false" outlineLevel="0" max="9" min="9" style="0" width="26"/>
    <col collapsed="false" customWidth="true" hidden="false" outlineLevel="0" max="10" min="10" style="0" width="17"/>
    <col collapsed="false" customWidth="true" hidden="false" outlineLevel="0" max="11" min="11" style="0" width="22"/>
    <col collapsed="false" customWidth="true" hidden="false" outlineLevel="0" max="12" min="12" style="0" width="20"/>
    <col collapsed="false" customWidth="true" hidden="false" outlineLevel="0" max="13" min="13" style="0" width="59"/>
    <col collapsed="false" customWidth="true" hidden="false" outlineLevel="0" max="14" min="14" style="0" width="45"/>
    <col collapsed="false" customWidth="true" hidden="false" outlineLevel="0" max="15" min="15" style="0" width="12"/>
    <col collapsed="false" customWidth="true" hidden="false" outlineLevel="0" max="16" min="16" style="0" width="50"/>
    <col collapsed="false" customWidth="true" hidden="false" outlineLevel="0" max="17" min="17" style="0" width="95"/>
  </cols>
  <sheetData>
    <row r="1" customFormat="false" ht="30" hidden="false" customHeight="true" outlineLevel="0" collapsed="false">
      <c r="A1" s="1" t="s">
        <v>1250</v>
      </c>
      <c r="B1" s="1"/>
      <c r="C1" s="1"/>
      <c r="D1" s="1"/>
      <c r="E1" s="1"/>
      <c r="F1" s="1"/>
      <c r="G1" s="1"/>
      <c r="H1" s="1"/>
      <c r="I1" s="1"/>
      <c r="J1" s="1"/>
      <c r="K1" s="1"/>
      <c r="L1" s="1"/>
      <c r="M1" s="1"/>
      <c r="N1" s="1"/>
      <c r="O1" s="1"/>
      <c r="P1" s="1"/>
      <c r="Q1" s="1"/>
    </row>
    <row r="3" customFormat="false" ht="28.35" hidden="false" customHeight="false" outlineLevel="0" collapsed="false">
      <c r="A3" s="15" t="s">
        <v>1251</v>
      </c>
      <c r="B3" s="15" t="s">
        <v>373</v>
      </c>
      <c r="C3" s="15" t="s">
        <v>1252</v>
      </c>
      <c r="D3" s="15" t="s">
        <v>178</v>
      </c>
      <c r="E3" s="15" t="s">
        <v>179</v>
      </c>
      <c r="F3" s="15" t="s">
        <v>180</v>
      </c>
      <c r="G3" s="15" t="s">
        <v>375</v>
      </c>
      <c r="H3" s="15" t="s">
        <v>1253</v>
      </c>
      <c r="I3" s="15" t="s">
        <v>182</v>
      </c>
      <c r="J3" s="15" t="s">
        <v>1254</v>
      </c>
      <c r="K3" s="15" t="s">
        <v>1255</v>
      </c>
      <c r="L3" s="15" t="s">
        <v>1256</v>
      </c>
      <c r="M3" s="15" t="s">
        <v>1257</v>
      </c>
      <c r="N3" s="15" t="s">
        <v>67</v>
      </c>
      <c r="O3" s="15" t="s">
        <v>374</v>
      </c>
      <c r="P3" s="15" t="s">
        <v>380</v>
      </c>
      <c r="Q3" s="15" t="s">
        <v>381</v>
      </c>
    </row>
    <row r="4" customFormat="false" ht="202.95" hidden="false" customHeight="false" outlineLevel="0" collapsed="false">
      <c r="A4" s="5" t="s">
        <v>1258</v>
      </c>
      <c r="B4" s="5" t="s">
        <v>1259</v>
      </c>
      <c r="C4" s="5" t="n">
        <v>1</v>
      </c>
      <c r="D4" s="5" t="s">
        <v>1260</v>
      </c>
      <c r="E4" s="5" t="s">
        <v>1261</v>
      </c>
      <c r="F4" s="5" t="n">
        <v>2026</v>
      </c>
      <c r="G4" s="5" t="s">
        <v>385</v>
      </c>
      <c r="H4" s="5" t="s">
        <v>233</v>
      </c>
      <c r="I4" s="5" t="s">
        <v>1262</v>
      </c>
      <c r="J4" s="5" t="s">
        <v>218</v>
      </c>
      <c r="K4" s="5" t="s">
        <v>218</v>
      </c>
      <c r="L4" s="5" t="s">
        <v>1263</v>
      </c>
      <c r="M4" s="5" t="s">
        <v>397</v>
      </c>
      <c r="N4" s="5" t="s">
        <v>1264</v>
      </c>
      <c r="O4" s="5" t="n">
        <v>1</v>
      </c>
      <c r="P4" s="5" t="s">
        <v>1265</v>
      </c>
      <c r="Q4" s="5" t="s">
        <v>1266</v>
      </c>
    </row>
    <row r="5" customFormat="false" ht="270.1" hidden="false" customHeight="false" outlineLevel="0" collapsed="false">
      <c r="A5" s="5" t="s">
        <v>1267</v>
      </c>
      <c r="B5" s="5" t="s">
        <v>1268</v>
      </c>
      <c r="C5" s="5" t="n">
        <v>2</v>
      </c>
      <c r="D5" s="5" t="s">
        <v>1269</v>
      </c>
      <c r="E5" s="5" t="s">
        <v>1270</v>
      </c>
      <c r="F5" s="5" t="n">
        <v>2026</v>
      </c>
      <c r="G5" s="5" t="s">
        <v>385</v>
      </c>
      <c r="H5" s="5" t="s">
        <v>254</v>
      </c>
      <c r="I5" s="5" t="s">
        <v>1271</v>
      </c>
      <c r="J5" s="5" t="s">
        <v>218</v>
      </c>
      <c r="K5" s="5" t="s">
        <v>218</v>
      </c>
      <c r="L5" s="5" t="s">
        <v>1263</v>
      </c>
      <c r="M5" s="5" t="s">
        <v>397</v>
      </c>
      <c r="N5" s="5" t="s">
        <v>1264</v>
      </c>
      <c r="O5" s="5" t="n">
        <v>2</v>
      </c>
      <c r="P5" s="5" t="s">
        <v>1272</v>
      </c>
      <c r="Q5" s="5" t="s">
        <v>1273</v>
      </c>
    </row>
    <row r="6" customFormat="false" ht="135.8" hidden="false" customHeight="false" outlineLevel="0" collapsed="false">
      <c r="A6" s="5" t="s">
        <v>1274</v>
      </c>
      <c r="B6" s="5" t="s">
        <v>1259</v>
      </c>
      <c r="C6" s="5" t="n">
        <v>1</v>
      </c>
      <c r="D6" s="5" t="s">
        <v>1275</v>
      </c>
      <c r="E6" s="5" t="s">
        <v>1276</v>
      </c>
      <c r="F6" s="5" t="n">
        <v>2026</v>
      </c>
      <c r="G6" s="5" t="s">
        <v>385</v>
      </c>
      <c r="H6" s="5" t="s">
        <v>254</v>
      </c>
      <c r="I6" s="5" t="s">
        <v>1277</v>
      </c>
      <c r="J6" s="5" t="s">
        <v>218</v>
      </c>
      <c r="K6" s="5" t="s">
        <v>218</v>
      </c>
      <c r="L6" s="5" t="s">
        <v>1263</v>
      </c>
      <c r="M6" s="5" t="s">
        <v>397</v>
      </c>
      <c r="N6" s="5" t="s">
        <v>1264</v>
      </c>
      <c r="O6" s="5" t="n">
        <v>1</v>
      </c>
      <c r="P6" s="5" t="s">
        <v>1265</v>
      </c>
      <c r="Q6" s="5" t="s">
        <v>1278</v>
      </c>
    </row>
    <row r="7" customFormat="false" ht="229.85" hidden="false" customHeight="false" outlineLevel="0" collapsed="false">
      <c r="A7" s="5" t="s">
        <v>1279</v>
      </c>
      <c r="B7" s="5" t="s">
        <v>1280</v>
      </c>
      <c r="C7" s="5" t="n">
        <v>1</v>
      </c>
      <c r="D7" s="5" t="s">
        <v>1281</v>
      </c>
      <c r="E7" s="5" t="s">
        <v>1282</v>
      </c>
      <c r="F7" s="5" t="n">
        <v>2026</v>
      </c>
      <c r="G7" s="5" t="s">
        <v>385</v>
      </c>
      <c r="H7" s="5" t="s">
        <v>453</v>
      </c>
      <c r="I7" s="5" t="s">
        <v>1283</v>
      </c>
      <c r="J7" s="5" t="s">
        <v>218</v>
      </c>
      <c r="K7" s="5" t="s">
        <v>218</v>
      </c>
      <c r="L7" s="5" t="s">
        <v>1263</v>
      </c>
      <c r="M7" s="5" t="s">
        <v>389</v>
      </c>
      <c r="N7" s="5" t="s">
        <v>1264</v>
      </c>
      <c r="O7" s="5" t="n">
        <v>1</v>
      </c>
      <c r="P7" s="5" t="s">
        <v>1284</v>
      </c>
      <c r="Q7" s="5" t="s">
        <v>1285</v>
      </c>
    </row>
    <row r="8" customFormat="false" ht="162.65" hidden="false" customHeight="false" outlineLevel="0" collapsed="false">
      <c r="A8" s="5" t="s">
        <v>1286</v>
      </c>
      <c r="B8" s="5" t="s">
        <v>1287</v>
      </c>
      <c r="C8" s="5" t="n">
        <v>1</v>
      </c>
      <c r="D8" s="5" t="s">
        <v>1288</v>
      </c>
      <c r="E8" s="5" t="s">
        <v>1289</v>
      </c>
      <c r="F8" s="5" t="n">
        <v>2025</v>
      </c>
      <c r="G8" s="5" t="s">
        <v>1290</v>
      </c>
      <c r="H8" s="5" t="s">
        <v>1291</v>
      </c>
      <c r="I8" s="5" t="s">
        <v>1292</v>
      </c>
      <c r="J8" s="5" t="s">
        <v>218</v>
      </c>
      <c r="K8" s="5" t="s">
        <v>218</v>
      </c>
      <c r="L8" s="5" t="s">
        <v>1263</v>
      </c>
      <c r="M8" s="5" t="s">
        <v>1293</v>
      </c>
      <c r="N8" s="5"/>
      <c r="O8" s="5" t="n">
        <v>1</v>
      </c>
      <c r="P8" s="5" t="s">
        <v>1294</v>
      </c>
      <c r="Q8" s="5" t="s">
        <v>1295</v>
      </c>
    </row>
    <row r="9" customFormat="false" ht="216.4" hidden="false" customHeight="false" outlineLevel="0" collapsed="false">
      <c r="A9" s="5" t="s">
        <v>1296</v>
      </c>
      <c r="B9" s="5" t="s">
        <v>1259</v>
      </c>
      <c r="C9" s="5" t="n">
        <v>1</v>
      </c>
      <c r="D9" s="5" t="s">
        <v>1297</v>
      </c>
      <c r="E9" s="5" t="s">
        <v>1298</v>
      </c>
      <c r="F9" s="5" t="n">
        <v>2025</v>
      </c>
      <c r="G9" s="5" t="s">
        <v>385</v>
      </c>
      <c r="H9" s="5" t="s">
        <v>1299</v>
      </c>
      <c r="I9" s="5" t="s">
        <v>1300</v>
      </c>
      <c r="J9" s="5" t="s">
        <v>218</v>
      </c>
      <c r="K9" s="5" t="s">
        <v>218</v>
      </c>
      <c r="L9" s="5" t="s">
        <v>1263</v>
      </c>
      <c r="M9" s="5" t="s">
        <v>397</v>
      </c>
      <c r="N9" s="5" t="s">
        <v>1264</v>
      </c>
      <c r="O9" s="5" t="n">
        <v>1</v>
      </c>
      <c r="P9" s="5" t="s">
        <v>1265</v>
      </c>
      <c r="Q9" s="5" t="s">
        <v>1301</v>
      </c>
    </row>
    <row r="10" customFormat="false" ht="189.55" hidden="false" customHeight="false" outlineLevel="0" collapsed="false">
      <c r="A10" s="5" t="s">
        <v>1302</v>
      </c>
      <c r="B10" s="5" t="s">
        <v>1303</v>
      </c>
      <c r="C10" s="5" t="n">
        <v>2</v>
      </c>
      <c r="D10" s="5" t="s">
        <v>424</v>
      </c>
      <c r="E10" s="5" t="s">
        <v>1304</v>
      </c>
      <c r="F10" s="5" t="n">
        <v>2025</v>
      </c>
      <c r="G10" s="5" t="s">
        <v>385</v>
      </c>
      <c r="H10" s="5" t="s">
        <v>459</v>
      </c>
      <c r="I10" s="5" t="s">
        <v>426</v>
      </c>
      <c r="J10" s="5" t="s">
        <v>194</v>
      </c>
      <c r="K10" s="5" t="s">
        <v>1305</v>
      </c>
      <c r="L10" s="5" t="s">
        <v>1306</v>
      </c>
      <c r="M10" s="5" t="s">
        <v>1307</v>
      </c>
      <c r="N10" s="5" t="s">
        <v>1308</v>
      </c>
      <c r="O10" s="5" t="n">
        <v>2</v>
      </c>
      <c r="P10" s="5" t="s">
        <v>1309</v>
      </c>
      <c r="Q10" s="5" t="s">
        <v>1310</v>
      </c>
    </row>
    <row r="11" customFormat="false" ht="229.85" hidden="false" customHeight="false" outlineLevel="0" collapsed="false">
      <c r="A11" s="5" t="s">
        <v>1311</v>
      </c>
      <c r="B11" s="5" t="s">
        <v>1312</v>
      </c>
      <c r="C11" s="5" t="n">
        <v>2</v>
      </c>
      <c r="D11" s="5" t="s">
        <v>207</v>
      </c>
      <c r="E11" s="5" t="s">
        <v>208</v>
      </c>
      <c r="F11" s="5" t="n">
        <v>2021</v>
      </c>
      <c r="G11" s="5" t="s">
        <v>385</v>
      </c>
      <c r="H11" s="5" t="s">
        <v>209</v>
      </c>
      <c r="I11" s="5" t="s">
        <v>210</v>
      </c>
      <c r="J11" s="5" t="s">
        <v>194</v>
      </c>
      <c r="K11" s="5" t="s">
        <v>1305</v>
      </c>
      <c r="L11" s="5" t="s">
        <v>1306</v>
      </c>
      <c r="M11" s="5" t="s">
        <v>1307</v>
      </c>
      <c r="N11" s="5" t="s">
        <v>1308</v>
      </c>
      <c r="O11" s="5" t="n">
        <v>2</v>
      </c>
      <c r="P11" s="5" t="s">
        <v>1313</v>
      </c>
      <c r="Q11" s="5" t="s">
        <v>1314</v>
      </c>
    </row>
    <row r="12" customFormat="false" ht="122.35" hidden="false" customHeight="false" outlineLevel="0" collapsed="false">
      <c r="A12" s="5" t="s">
        <v>1315</v>
      </c>
      <c r="B12" s="5" t="s">
        <v>1287</v>
      </c>
      <c r="C12" s="5" t="n">
        <v>1</v>
      </c>
      <c r="D12" s="5" t="s">
        <v>1316</v>
      </c>
      <c r="E12" s="5" t="s">
        <v>1317</v>
      </c>
      <c r="F12" s="5" t="n">
        <v>2026</v>
      </c>
      <c r="G12" s="5" t="s">
        <v>1290</v>
      </c>
      <c r="H12" s="5" t="s">
        <v>1318</v>
      </c>
      <c r="I12" s="5" t="s">
        <v>1319</v>
      </c>
      <c r="J12" s="5" t="s">
        <v>218</v>
      </c>
      <c r="K12" s="5" t="s">
        <v>218</v>
      </c>
      <c r="L12" s="5" t="s">
        <v>1263</v>
      </c>
      <c r="M12" s="5" t="s">
        <v>1293</v>
      </c>
      <c r="N12" s="5"/>
      <c r="O12" s="5" t="n">
        <v>1</v>
      </c>
      <c r="P12" s="5" t="s">
        <v>1294</v>
      </c>
      <c r="Q12" s="5" t="s">
        <v>1320</v>
      </c>
    </row>
    <row r="13" customFormat="false" ht="229.85" hidden="false" customHeight="false" outlineLevel="0" collapsed="false">
      <c r="A13" s="5" t="s">
        <v>1321</v>
      </c>
      <c r="B13" s="5" t="s">
        <v>1287</v>
      </c>
      <c r="C13" s="5" t="n">
        <v>1</v>
      </c>
      <c r="D13" s="5" t="s">
        <v>1322</v>
      </c>
      <c r="E13" s="5" t="s">
        <v>1323</v>
      </c>
      <c r="F13" s="5" t="n">
        <v>2026</v>
      </c>
      <c r="G13" s="5" t="s">
        <v>385</v>
      </c>
      <c r="H13" s="5" t="s">
        <v>487</v>
      </c>
      <c r="I13" s="5" t="s">
        <v>1324</v>
      </c>
      <c r="J13" s="5" t="s">
        <v>218</v>
      </c>
      <c r="K13" s="5" t="s">
        <v>218</v>
      </c>
      <c r="L13" s="5" t="s">
        <v>1263</v>
      </c>
      <c r="M13" s="5" t="s">
        <v>397</v>
      </c>
      <c r="N13" s="5" t="s">
        <v>1264</v>
      </c>
      <c r="O13" s="5" t="n">
        <v>1</v>
      </c>
      <c r="P13" s="5" t="s">
        <v>1294</v>
      </c>
      <c r="Q13" s="5" t="s">
        <v>1325</v>
      </c>
    </row>
    <row r="14" customFormat="false" ht="189.55" hidden="false" customHeight="false" outlineLevel="0" collapsed="false">
      <c r="A14" s="5" t="s">
        <v>1326</v>
      </c>
      <c r="B14" s="5" t="s">
        <v>1259</v>
      </c>
      <c r="C14" s="5" t="n">
        <v>1</v>
      </c>
      <c r="D14" s="5" t="s">
        <v>1327</v>
      </c>
      <c r="E14" s="5" t="s">
        <v>1328</v>
      </c>
      <c r="F14" s="5" t="n">
        <v>2026</v>
      </c>
      <c r="G14" s="5" t="s">
        <v>385</v>
      </c>
      <c r="H14" s="5" t="s">
        <v>626</v>
      </c>
      <c r="I14" s="5" t="s">
        <v>1329</v>
      </c>
      <c r="J14" s="5" t="s">
        <v>218</v>
      </c>
      <c r="K14" s="5" t="s">
        <v>218</v>
      </c>
      <c r="L14" s="5" t="s">
        <v>1263</v>
      </c>
      <c r="M14" s="5" t="s">
        <v>397</v>
      </c>
      <c r="N14" s="5" t="s">
        <v>1264</v>
      </c>
      <c r="O14" s="5" t="n">
        <v>1</v>
      </c>
      <c r="P14" s="5" t="s">
        <v>1265</v>
      </c>
      <c r="Q14" s="5" t="s">
        <v>1330</v>
      </c>
    </row>
    <row r="15" customFormat="false" ht="176.1" hidden="false" customHeight="false" outlineLevel="0" collapsed="false">
      <c r="A15" s="5" t="s">
        <v>1331</v>
      </c>
      <c r="B15" s="5" t="s">
        <v>1287</v>
      </c>
      <c r="C15" s="5" t="n">
        <v>1</v>
      </c>
      <c r="D15" s="5" t="s">
        <v>1332</v>
      </c>
      <c r="E15" s="5" t="s">
        <v>1333</v>
      </c>
      <c r="F15" s="5" t="n">
        <v>2020</v>
      </c>
      <c r="G15" s="5" t="s">
        <v>1290</v>
      </c>
      <c r="H15" s="5" t="s">
        <v>1334</v>
      </c>
      <c r="I15" s="5" t="s">
        <v>1335</v>
      </c>
      <c r="J15" s="5" t="s">
        <v>218</v>
      </c>
      <c r="K15" s="5" t="s">
        <v>218</v>
      </c>
      <c r="L15" s="5" t="s">
        <v>941</v>
      </c>
      <c r="M15" s="5" t="s">
        <v>1293</v>
      </c>
      <c r="N15" s="5" t="s">
        <v>1336</v>
      </c>
      <c r="O15" s="5" t="n">
        <v>1</v>
      </c>
      <c r="P15" s="5" t="s">
        <v>1294</v>
      </c>
      <c r="Q15" s="5" t="s">
        <v>1337</v>
      </c>
    </row>
    <row r="16" customFormat="false" ht="270.1" hidden="false" customHeight="false" outlineLevel="0" collapsed="false">
      <c r="A16" s="5" t="s">
        <v>1338</v>
      </c>
      <c r="B16" s="5" t="s">
        <v>1259</v>
      </c>
      <c r="C16" s="5" t="n">
        <v>1</v>
      </c>
      <c r="D16" s="5" t="s">
        <v>1339</v>
      </c>
      <c r="E16" s="5" t="s">
        <v>1340</v>
      </c>
      <c r="F16" s="5" t="n">
        <v>2022</v>
      </c>
      <c r="G16" s="5" t="s">
        <v>385</v>
      </c>
      <c r="H16" s="5" t="s">
        <v>233</v>
      </c>
      <c r="I16" s="5" t="s">
        <v>215</v>
      </c>
      <c r="J16" s="5" t="s">
        <v>218</v>
      </c>
      <c r="K16" s="5" t="s">
        <v>194</v>
      </c>
      <c r="L16" s="5" t="s">
        <v>1341</v>
      </c>
      <c r="M16" s="5" t="s">
        <v>1342</v>
      </c>
      <c r="N16" s="5" t="s">
        <v>1343</v>
      </c>
      <c r="O16" s="5" t="n">
        <v>1</v>
      </c>
      <c r="P16" s="5" t="s">
        <v>1265</v>
      </c>
      <c r="Q16" s="5" t="s">
        <v>1344</v>
      </c>
    </row>
    <row r="17" customFormat="false" ht="162.65" hidden="false" customHeight="false" outlineLevel="0" collapsed="false">
      <c r="A17" s="5" t="s">
        <v>1345</v>
      </c>
      <c r="B17" s="5" t="s">
        <v>1268</v>
      </c>
      <c r="C17" s="5" t="n">
        <v>2</v>
      </c>
      <c r="D17" s="5" t="s">
        <v>242</v>
      </c>
      <c r="E17" s="5" t="s">
        <v>1346</v>
      </c>
      <c r="F17" s="5" t="n">
        <v>2023</v>
      </c>
      <c r="G17" s="5" t="s">
        <v>385</v>
      </c>
      <c r="H17" s="5" t="s">
        <v>1347</v>
      </c>
      <c r="I17" s="5" t="s">
        <v>245</v>
      </c>
      <c r="J17" s="5" t="s">
        <v>194</v>
      </c>
      <c r="K17" s="5" t="s">
        <v>1305</v>
      </c>
      <c r="L17" s="5" t="s">
        <v>1306</v>
      </c>
      <c r="M17" s="5" t="s">
        <v>1307</v>
      </c>
      <c r="N17" s="5" t="s">
        <v>1308</v>
      </c>
      <c r="O17" s="5" t="n">
        <v>2</v>
      </c>
      <c r="P17" s="5" t="s">
        <v>1272</v>
      </c>
      <c r="Q17" s="5" t="s">
        <v>477</v>
      </c>
    </row>
    <row r="18" customFormat="false" ht="189.55" hidden="false" customHeight="false" outlineLevel="0" collapsed="false">
      <c r="A18" s="5" t="s">
        <v>1348</v>
      </c>
      <c r="B18" s="5" t="s">
        <v>1259</v>
      </c>
      <c r="C18" s="5" t="n">
        <v>1</v>
      </c>
      <c r="D18" s="5" t="s">
        <v>479</v>
      </c>
      <c r="E18" s="5" t="s">
        <v>1349</v>
      </c>
      <c r="F18" s="5" t="n">
        <v>2019</v>
      </c>
      <c r="G18" s="5" t="s">
        <v>385</v>
      </c>
      <c r="H18" s="5" t="s">
        <v>1347</v>
      </c>
      <c r="I18" s="5" t="s">
        <v>481</v>
      </c>
      <c r="J18" s="5" t="s">
        <v>194</v>
      </c>
      <c r="K18" s="5" t="s">
        <v>1305</v>
      </c>
      <c r="L18" s="5" t="s">
        <v>1306</v>
      </c>
      <c r="M18" s="5" t="s">
        <v>1307</v>
      </c>
      <c r="N18" s="5" t="s">
        <v>1308</v>
      </c>
      <c r="O18" s="5" t="n">
        <v>1</v>
      </c>
      <c r="P18" s="5" t="s">
        <v>1265</v>
      </c>
      <c r="Q18" s="5" t="s">
        <v>483</v>
      </c>
    </row>
    <row r="19" customFormat="false" ht="202.95" hidden="false" customHeight="false" outlineLevel="0" collapsed="false">
      <c r="A19" s="5" t="s">
        <v>1350</v>
      </c>
      <c r="B19" s="5" t="s">
        <v>1259</v>
      </c>
      <c r="C19" s="5" t="n">
        <v>1</v>
      </c>
      <c r="D19" s="5" t="s">
        <v>1351</v>
      </c>
      <c r="E19" s="5" t="s">
        <v>1352</v>
      </c>
      <c r="F19" s="5" t="n">
        <v>2025</v>
      </c>
      <c r="G19" s="5" t="s">
        <v>385</v>
      </c>
      <c r="H19" s="5" t="s">
        <v>233</v>
      </c>
      <c r="I19" s="5" t="s">
        <v>1353</v>
      </c>
      <c r="J19" s="5" t="s">
        <v>218</v>
      </c>
      <c r="K19" s="5" t="s">
        <v>218</v>
      </c>
      <c r="L19" s="5" t="s">
        <v>1263</v>
      </c>
      <c r="M19" s="5" t="s">
        <v>397</v>
      </c>
      <c r="N19" s="5" t="s">
        <v>1264</v>
      </c>
      <c r="O19" s="5" t="n">
        <v>1</v>
      </c>
      <c r="P19" s="5" t="s">
        <v>1265</v>
      </c>
      <c r="Q19" s="5" t="s">
        <v>1354</v>
      </c>
    </row>
    <row r="20" customFormat="false" ht="189.55" hidden="false" customHeight="false" outlineLevel="0" collapsed="false">
      <c r="A20" s="5" t="s">
        <v>1355</v>
      </c>
      <c r="B20" s="5" t="s">
        <v>1259</v>
      </c>
      <c r="C20" s="5" t="n">
        <v>1</v>
      </c>
      <c r="D20" s="5" t="s">
        <v>1356</v>
      </c>
      <c r="E20" s="5" t="s">
        <v>1357</v>
      </c>
      <c r="F20" s="5" t="n">
        <v>2022</v>
      </c>
      <c r="G20" s="5" t="s">
        <v>385</v>
      </c>
      <c r="H20" s="5" t="s">
        <v>233</v>
      </c>
      <c r="I20" s="5" t="s">
        <v>1358</v>
      </c>
      <c r="J20" s="5" t="s">
        <v>218</v>
      </c>
      <c r="K20" s="5" t="s">
        <v>218</v>
      </c>
      <c r="L20" s="5" t="s">
        <v>1263</v>
      </c>
      <c r="M20" s="5" t="s">
        <v>397</v>
      </c>
      <c r="N20" s="5" t="s">
        <v>1264</v>
      </c>
      <c r="O20" s="5" t="n">
        <v>1</v>
      </c>
      <c r="P20" s="5" t="s">
        <v>1265</v>
      </c>
      <c r="Q20" s="5" t="s">
        <v>1359</v>
      </c>
    </row>
    <row r="21" customFormat="false" ht="149.25" hidden="false" customHeight="false" outlineLevel="0" collapsed="false">
      <c r="A21" s="5" t="s">
        <v>1360</v>
      </c>
      <c r="B21" s="5" t="s">
        <v>1287</v>
      </c>
      <c r="C21" s="5" t="n">
        <v>1</v>
      </c>
      <c r="D21" s="5" t="s">
        <v>1361</v>
      </c>
      <c r="E21" s="5" t="s">
        <v>1362</v>
      </c>
      <c r="F21" s="5" t="n">
        <v>2024</v>
      </c>
      <c r="G21" s="5" t="s">
        <v>1290</v>
      </c>
      <c r="H21" s="5" t="s">
        <v>1363</v>
      </c>
      <c r="I21" s="5" t="s">
        <v>1364</v>
      </c>
      <c r="J21" s="5" t="s">
        <v>218</v>
      </c>
      <c r="K21" s="5" t="s">
        <v>218</v>
      </c>
      <c r="L21" s="5" t="s">
        <v>1263</v>
      </c>
      <c r="M21" s="5" t="s">
        <v>1293</v>
      </c>
      <c r="N21" s="5"/>
      <c r="O21" s="5" t="n">
        <v>1</v>
      </c>
      <c r="P21" s="5" t="s">
        <v>1294</v>
      </c>
      <c r="Q21" s="5" t="s">
        <v>1365</v>
      </c>
    </row>
    <row r="22" customFormat="false" ht="297" hidden="false" customHeight="false" outlineLevel="0" collapsed="false">
      <c r="A22" s="5" t="s">
        <v>1366</v>
      </c>
      <c r="B22" s="5" t="s">
        <v>1287</v>
      </c>
      <c r="C22" s="5" t="n">
        <v>1</v>
      </c>
      <c r="D22" s="5" t="s">
        <v>1367</v>
      </c>
      <c r="E22" s="5" t="s">
        <v>1368</v>
      </c>
      <c r="F22" s="5" t="n">
        <v>2026</v>
      </c>
      <c r="G22" s="5" t="s">
        <v>1290</v>
      </c>
      <c r="H22" s="5" t="s">
        <v>1369</v>
      </c>
      <c r="I22" s="5" t="s">
        <v>1370</v>
      </c>
      <c r="J22" s="5" t="s">
        <v>218</v>
      </c>
      <c r="K22" s="5" t="s">
        <v>218</v>
      </c>
      <c r="L22" s="5" t="s">
        <v>1263</v>
      </c>
      <c r="M22" s="5" t="s">
        <v>1293</v>
      </c>
      <c r="N22" s="5"/>
      <c r="O22" s="5" t="n">
        <v>1</v>
      </c>
      <c r="P22" s="5" t="s">
        <v>1294</v>
      </c>
      <c r="Q22" s="5" t="s">
        <v>1371</v>
      </c>
    </row>
    <row r="23" customFormat="false" ht="216.4" hidden="false" customHeight="false" outlineLevel="0" collapsed="false">
      <c r="A23" s="5" t="s">
        <v>1372</v>
      </c>
      <c r="B23" s="5" t="s">
        <v>1259</v>
      </c>
      <c r="C23" s="5" t="n">
        <v>1</v>
      </c>
      <c r="D23" s="5" t="s">
        <v>1373</v>
      </c>
      <c r="E23" s="5" t="s">
        <v>1374</v>
      </c>
      <c r="F23" s="5" t="n">
        <v>2021</v>
      </c>
      <c r="G23" s="5" t="s">
        <v>385</v>
      </c>
      <c r="H23" s="5" t="s">
        <v>1181</v>
      </c>
      <c r="I23" s="5" t="s">
        <v>1375</v>
      </c>
      <c r="J23" s="5" t="s">
        <v>218</v>
      </c>
      <c r="K23" s="5" t="s">
        <v>218</v>
      </c>
      <c r="L23" s="5" t="s">
        <v>1263</v>
      </c>
      <c r="M23" s="5" t="s">
        <v>397</v>
      </c>
      <c r="N23" s="5" t="s">
        <v>1264</v>
      </c>
      <c r="O23" s="5" t="n">
        <v>1</v>
      </c>
      <c r="P23" s="5" t="s">
        <v>1265</v>
      </c>
      <c r="Q23" s="5" t="s">
        <v>1376</v>
      </c>
    </row>
    <row r="24" customFormat="false" ht="270.1" hidden="false" customHeight="false" outlineLevel="0" collapsed="false">
      <c r="A24" s="5" t="s">
        <v>1377</v>
      </c>
      <c r="B24" s="5" t="s">
        <v>1287</v>
      </c>
      <c r="C24" s="5" t="n">
        <v>1</v>
      </c>
      <c r="D24" s="5" t="s">
        <v>1378</v>
      </c>
      <c r="E24" s="5" t="s">
        <v>1379</v>
      </c>
      <c r="F24" s="5" t="n">
        <v>2022</v>
      </c>
      <c r="G24" s="5" t="s">
        <v>385</v>
      </c>
      <c r="H24" s="5" t="s">
        <v>228</v>
      </c>
      <c r="I24" s="5" t="s">
        <v>1380</v>
      </c>
      <c r="J24" s="5" t="s">
        <v>218</v>
      </c>
      <c r="K24" s="5" t="s">
        <v>218</v>
      </c>
      <c r="L24" s="5" t="s">
        <v>1263</v>
      </c>
      <c r="M24" s="5" t="s">
        <v>397</v>
      </c>
      <c r="N24" s="5" t="s">
        <v>1264</v>
      </c>
      <c r="O24" s="5" t="n">
        <v>1</v>
      </c>
      <c r="P24" s="5" t="s">
        <v>1294</v>
      </c>
      <c r="Q24" s="5" t="s">
        <v>1381</v>
      </c>
    </row>
    <row r="25" customFormat="false" ht="270.1" hidden="false" customHeight="false" outlineLevel="0" collapsed="false">
      <c r="A25" s="5" t="s">
        <v>1382</v>
      </c>
      <c r="B25" s="5" t="s">
        <v>1259</v>
      </c>
      <c r="C25" s="5" t="n">
        <v>1</v>
      </c>
      <c r="D25" s="5" t="s">
        <v>1383</v>
      </c>
      <c r="E25" s="5" t="s">
        <v>1384</v>
      </c>
      <c r="F25" s="5" t="n">
        <v>2026</v>
      </c>
      <c r="G25" s="5" t="s">
        <v>385</v>
      </c>
      <c r="H25" s="5" t="s">
        <v>523</v>
      </c>
      <c r="I25" s="5" t="s">
        <v>1385</v>
      </c>
      <c r="J25" s="5" t="s">
        <v>218</v>
      </c>
      <c r="K25" s="5" t="s">
        <v>218</v>
      </c>
      <c r="L25" s="5" t="s">
        <v>1263</v>
      </c>
      <c r="M25" s="5" t="s">
        <v>397</v>
      </c>
      <c r="N25" s="5" t="s">
        <v>1264</v>
      </c>
      <c r="O25" s="5" t="n">
        <v>1</v>
      </c>
      <c r="P25" s="5" t="s">
        <v>1265</v>
      </c>
      <c r="Q25" s="5" t="s">
        <v>1386</v>
      </c>
    </row>
    <row r="26" customFormat="false" ht="189.55" hidden="false" customHeight="false" outlineLevel="0" collapsed="false">
      <c r="A26" s="5" t="s">
        <v>1387</v>
      </c>
      <c r="B26" s="5" t="s">
        <v>1303</v>
      </c>
      <c r="C26" s="5" t="n">
        <v>2</v>
      </c>
      <c r="D26" s="5" t="s">
        <v>531</v>
      </c>
      <c r="E26" s="5" t="s">
        <v>532</v>
      </c>
      <c r="F26" s="5" t="n">
        <v>2022</v>
      </c>
      <c r="G26" s="5" t="s">
        <v>385</v>
      </c>
      <c r="H26" s="5" t="s">
        <v>254</v>
      </c>
      <c r="I26" s="5" t="s">
        <v>533</v>
      </c>
      <c r="J26" s="5" t="s">
        <v>194</v>
      </c>
      <c r="K26" s="5" t="s">
        <v>1305</v>
      </c>
      <c r="L26" s="5" t="s">
        <v>1306</v>
      </c>
      <c r="M26" s="5" t="s">
        <v>1307</v>
      </c>
      <c r="N26" s="5" t="s">
        <v>1308</v>
      </c>
      <c r="O26" s="5" t="n">
        <v>2</v>
      </c>
      <c r="P26" s="5" t="s">
        <v>1309</v>
      </c>
      <c r="Q26" s="5" t="s">
        <v>1388</v>
      </c>
    </row>
    <row r="27" customFormat="false" ht="270.1" hidden="false" customHeight="false" outlineLevel="0" collapsed="false">
      <c r="A27" s="5" t="s">
        <v>1389</v>
      </c>
      <c r="B27" s="5" t="s">
        <v>1303</v>
      </c>
      <c r="C27" s="5" t="n">
        <v>2</v>
      </c>
      <c r="D27" s="5" t="s">
        <v>548</v>
      </c>
      <c r="E27" s="5" t="s">
        <v>549</v>
      </c>
      <c r="F27" s="5" t="n">
        <v>2024</v>
      </c>
      <c r="G27" s="5" t="s">
        <v>385</v>
      </c>
      <c r="H27" s="5" t="s">
        <v>254</v>
      </c>
      <c r="I27" s="5" t="s">
        <v>550</v>
      </c>
      <c r="J27" s="5" t="s">
        <v>194</v>
      </c>
      <c r="K27" s="5" t="s">
        <v>1305</v>
      </c>
      <c r="L27" s="5" t="s">
        <v>1306</v>
      </c>
      <c r="M27" s="5" t="s">
        <v>1307</v>
      </c>
      <c r="N27" s="5" t="s">
        <v>1308</v>
      </c>
      <c r="O27" s="5" t="n">
        <v>2</v>
      </c>
      <c r="P27" s="5" t="s">
        <v>1309</v>
      </c>
      <c r="Q27" s="5" t="s">
        <v>1390</v>
      </c>
    </row>
    <row r="28" customFormat="false" ht="283.55" hidden="false" customHeight="false" outlineLevel="0" collapsed="false">
      <c r="A28" s="5" t="s">
        <v>1391</v>
      </c>
      <c r="B28" s="5" t="s">
        <v>1259</v>
      </c>
      <c r="C28" s="5" t="n">
        <v>1</v>
      </c>
      <c r="D28" s="5" t="s">
        <v>1392</v>
      </c>
      <c r="E28" s="5" t="s">
        <v>1393</v>
      </c>
      <c r="F28" s="5" t="n">
        <v>2026</v>
      </c>
      <c r="G28" s="5" t="s">
        <v>385</v>
      </c>
      <c r="H28" s="5" t="s">
        <v>233</v>
      </c>
      <c r="I28" s="5" t="s">
        <v>1394</v>
      </c>
      <c r="J28" s="5" t="s">
        <v>218</v>
      </c>
      <c r="K28" s="5" t="s">
        <v>218</v>
      </c>
      <c r="L28" s="5" t="s">
        <v>1263</v>
      </c>
      <c r="M28" s="5" t="s">
        <v>397</v>
      </c>
      <c r="N28" s="5" t="s">
        <v>1264</v>
      </c>
      <c r="O28" s="5" t="n">
        <v>1</v>
      </c>
      <c r="P28" s="5" t="s">
        <v>1265</v>
      </c>
      <c r="Q28" s="5" t="s">
        <v>1395</v>
      </c>
    </row>
    <row r="29" customFormat="false" ht="283.55" hidden="false" customHeight="false" outlineLevel="0" collapsed="false">
      <c r="A29" s="5" t="s">
        <v>1396</v>
      </c>
      <c r="B29" s="5" t="s">
        <v>1259</v>
      </c>
      <c r="C29" s="5" t="n">
        <v>1</v>
      </c>
      <c r="D29" s="5" t="s">
        <v>1397</v>
      </c>
      <c r="E29" s="5" t="s">
        <v>1398</v>
      </c>
      <c r="F29" s="5" t="n">
        <v>2026</v>
      </c>
      <c r="G29" s="5" t="s">
        <v>385</v>
      </c>
      <c r="H29" s="5" t="s">
        <v>233</v>
      </c>
      <c r="I29" s="5" t="s">
        <v>1399</v>
      </c>
      <c r="J29" s="5" t="s">
        <v>218</v>
      </c>
      <c r="K29" s="5" t="s">
        <v>218</v>
      </c>
      <c r="L29" s="5" t="s">
        <v>1263</v>
      </c>
      <c r="M29" s="5" t="s">
        <v>397</v>
      </c>
      <c r="N29" s="5" t="s">
        <v>1264</v>
      </c>
      <c r="O29" s="5" t="n">
        <v>1</v>
      </c>
      <c r="P29" s="5" t="s">
        <v>1265</v>
      </c>
      <c r="Q29" s="5" t="s">
        <v>1400</v>
      </c>
    </row>
    <row r="30" customFormat="false" ht="229.85" hidden="false" customHeight="false" outlineLevel="0" collapsed="false">
      <c r="A30" s="5" t="s">
        <v>1401</v>
      </c>
      <c r="B30" s="5" t="s">
        <v>1303</v>
      </c>
      <c r="C30" s="5" t="n">
        <v>2</v>
      </c>
      <c r="D30" s="5" t="s">
        <v>1402</v>
      </c>
      <c r="E30" s="5" t="s">
        <v>1403</v>
      </c>
      <c r="F30" s="5" t="n">
        <v>2026</v>
      </c>
      <c r="G30" s="5" t="s">
        <v>385</v>
      </c>
      <c r="H30" s="5" t="s">
        <v>1404</v>
      </c>
      <c r="I30" s="5" t="s">
        <v>1405</v>
      </c>
      <c r="J30" s="5" t="s">
        <v>218</v>
      </c>
      <c r="K30" s="5" t="s">
        <v>218</v>
      </c>
      <c r="L30" s="5" t="s">
        <v>1263</v>
      </c>
      <c r="M30" s="5" t="s">
        <v>397</v>
      </c>
      <c r="N30" s="5" t="s">
        <v>1264</v>
      </c>
      <c r="O30" s="5" t="n">
        <v>2</v>
      </c>
      <c r="P30" s="5" t="s">
        <v>1309</v>
      </c>
      <c r="Q30" s="5" t="s">
        <v>1406</v>
      </c>
    </row>
    <row r="31" customFormat="false" ht="229.85" hidden="false" customHeight="false" outlineLevel="0" collapsed="false">
      <c r="A31" s="5" t="s">
        <v>1407</v>
      </c>
      <c r="B31" s="5" t="s">
        <v>1259</v>
      </c>
      <c r="C31" s="5" t="n">
        <v>1</v>
      </c>
      <c r="D31" s="5" t="s">
        <v>578</v>
      </c>
      <c r="E31" s="5" t="s">
        <v>579</v>
      </c>
      <c r="F31" s="5" t="n">
        <v>2024</v>
      </c>
      <c r="G31" s="5" t="s">
        <v>385</v>
      </c>
      <c r="H31" s="5" t="s">
        <v>580</v>
      </c>
      <c r="I31" s="5" t="s">
        <v>581</v>
      </c>
      <c r="J31" s="5" t="s">
        <v>194</v>
      </c>
      <c r="K31" s="5" t="s">
        <v>1305</v>
      </c>
      <c r="L31" s="5" t="s">
        <v>1306</v>
      </c>
      <c r="M31" s="5" t="s">
        <v>1307</v>
      </c>
      <c r="N31" s="5" t="s">
        <v>1308</v>
      </c>
      <c r="O31" s="5" t="n">
        <v>1</v>
      </c>
      <c r="P31" s="5" t="s">
        <v>1265</v>
      </c>
      <c r="Q31" s="5" t="s">
        <v>1408</v>
      </c>
    </row>
    <row r="32" customFormat="false" ht="243.25" hidden="false" customHeight="false" outlineLevel="0" collapsed="false">
      <c r="A32" s="5" t="s">
        <v>1409</v>
      </c>
      <c r="B32" s="5" t="s">
        <v>1287</v>
      </c>
      <c r="C32" s="5" t="n">
        <v>1</v>
      </c>
      <c r="D32" s="5" t="s">
        <v>583</v>
      </c>
      <c r="E32" s="5" t="s">
        <v>584</v>
      </c>
      <c r="F32" s="5" t="n">
        <v>2026</v>
      </c>
      <c r="G32" s="5" t="s">
        <v>385</v>
      </c>
      <c r="H32" s="5" t="s">
        <v>228</v>
      </c>
      <c r="I32" s="5" t="s">
        <v>585</v>
      </c>
      <c r="J32" s="5" t="s">
        <v>194</v>
      </c>
      <c r="K32" s="5" t="s">
        <v>1305</v>
      </c>
      <c r="L32" s="5" t="s">
        <v>1306</v>
      </c>
      <c r="M32" s="5" t="s">
        <v>1307</v>
      </c>
      <c r="N32" s="5" t="s">
        <v>1308</v>
      </c>
      <c r="O32" s="5" t="n">
        <v>1</v>
      </c>
      <c r="P32" s="5" t="s">
        <v>1294</v>
      </c>
      <c r="Q32" s="5" t="s">
        <v>586</v>
      </c>
    </row>
    <row r="33" customFormat="false" ht="176.1" hidden="false" customHeight="false" outlineLevel="0" collapsed="false">
      <c r="A33" s="5" t="s">
        <v>1410</v>
      </c>
      <c r="B33" s="5" t="s">
        <v>1287</v>
      </c>
      <c r="C33" s="5" t="n">
        <v>1</v>
      </c>
      <c r="D33" s="5" t="s">
        <v>1411</v>
      </c>
      <c r="E33" s="5" t="s">
        <v>1412</v>
      </c>
      <c r="F33" s="5" t="n">
        <v>2022</v>
      </c>
      <c r="G33" s="5" t="s">
        <v>1290</v>
      </c>
      <c r="H33" s="5" t="s">
        <v>1413</v>
      </c>
      <c r="I33" s="5" t="s">
        <v>1414</v>
      </c>
      <c r="J33" s="5" t="s">
        <v>218</v>
      </c>
      <c r="K33" s="5" t="s">
        <v>218</v>
      </c>
      <c r="L33" s="5" t="s">
        <v>1263</v>
      </c>
      <c r="M33" s="5" t="s">
        <v>1293</v>
      </c>
      <c r="N33" s="5"/>
      <c r="O33" s="5" t="n">
        <v>1</v>
      </c>
      <c r="P33" s="5" t="s">
        <v>1294</v>
      </c>
      <c r="Q33" s="5" t="s">
        <v>1415</v>
      </c>
    </row>
    <row r="34" customFormat="false" ht="256.7" hidden="false" customHeight="false" outlineLevel="0" collapsed="false">
      <c r="A34" s="5" t="s">
        <v>1416</v>
      </c>
      <c r="B34" s="5" t="s">
        <v>1259</v>
      </c>
      <c r="C34" s="5" t="n">
        <v>1</v>
      </c>
      <c r="D34" s="5" t="s">
        <v>252</v>
      </c>
      <c r="E34" s="5" t="s">
        <v>253</v>
      </c>
      <c r="F34" s="5" t="n">
        <v>2024</v>
      </c>
      <c r="G34" s="5" t="s">
        <v>385</v>
      </c>
      <c r="H34" s="5" t="s">
        <v>254</v>
      </c>
      <c r="I34" s="5" t="s">
        <v>255</v>
      </c>
      <c r="J34" s="5" t="s">
        <v>194</v>
      </c>
      <c r="K34" s="5" t="s">
        <v>1305</v>
      </c>
      <c r="L34" s="5" t="s">
        <v>1306</v>
      </c>
      <c r="M34" s="5" t="s">
        <v>1307</v>
      </c>
      <c r="N34" s="5" t="s">
        <v>1308</v>
      </c>
      <c r="O34" s="5" t="n">
        <v>1</v>
      </c>
      <c r="P34" s="5" t="s">
        <v>1265</v>
      </c>
      <c r="Q34" s="5" t="s">
        <v>1417</v>
      </c>
    </row>
    <row r="35" customFormat="false" ht="176.1" hidden="false" customHeight="false" outlineLevel="0" collapsed="false">
      <c r="A35" s="5" t="s">
        <v>1418</v>
      </c>
      <c r="B35" s="5" t="s">
        <v>1259</v>
      </c>
      <c r="C35" s="5" t="n">
        <v>1</v>
      </c>
      <c r="D35" s="5" t="s">
        <v>1419</v>
      </c>
      <c r="E35" s="5" t="s">
        <v>1420</v>
      </c>
      <c r="F35" s="5" t="n">
        <v>2023</v>
      </c>
      <c r="G35" s="5" t="s">
        <v>385</v>
      </c>
      <c r="H35" s="5" t="s">
        <v>233</v>
      </c>
      <c r="I35" s="5" t="s">
        <v>1421</v>
      </c>
      <c r="J35" s="5" t="s">
        <v>218</v>
      </c>
      <c r="K35" s="5" t="s">
        <v>218</v>
      </c>
      <c r="L35" s="5" t="s">
        <v>1263</v>
      </c>
      <c r="M35" s="5" t="s">
        <v>397</v>
      </c>
      <c r="N35" s="5" t="s">
        <v>1264</v>
      </c>
      <c r="O35" s="5" t="n">
        <v>1</v>
      </c>
      <c r="P35" s="5" t="s">
        <v>1265</v>
      </c>
      <c r="Q35" s="5" t="s">
        <v>1422</v>
      </c>
    </row>
    <row r="36" customFormat="false" ht="243.25" hidden="false" customHeight="false" outlineLevel="0" collapsed="false">
      <c r="A36" s="5" t="s">
        <v>1423</v>
      </c>
      <c r="B36" s="5" t="s">
        <v>1259</v>
      </c>
      <c r="C36" s="5" t="n">
        <v>1</v>
      </c>
      <c r="D36" s="5" t="s">
        <v>609</v>
      </c>
      <c r="E36" s="5" t="s">
        <v>610</v>
      </c>
      <c r="F36" s="5" t="n">
        <v>2023</v>
      </c>
      <c r="G36" s="5" t="s">
        <v>385</v>
      </c>
      <c r="H36" s="5" t="s">
        <v>233</v>
      </c>
      <c r="I36" s="5" t="s">
        <v>611</v>
      </c>
      <c r="J36" s="5" t="s">
        <v>194</v>
      </c>
      <c r="K36" s="5" t="s">
        <v>1305</v>
      </c>
      <c r="L36" s="5" t="s">
        <v>1306</v>
      </c>
      <c r="M36" s="5" t="s">
        <v>1307</v>
      </c>
      <c r="N36" s="5" t="s">
        <v>1308</v>
      </c>
      <c r="O36" s="5" t="n">
        <v>1</v>
      </c>
      <c r="P36" s="5" t="s">
        <v>1265</v>
      </c>
      <c r="Q36" s="5" t="s">
        <v>1424</v>
      </c>
    </row>
    <row r="37" customFormat="false" ht="176.1" hidden="false" customHeight="false" outlineLevel="0" collapsed="false">
      <c r="A37" s="5" t="s">
        <v>1425</v>
      </c>
      <c r="B37" s="5" t="s">
        <v>1259</v>
      </c>
      <c r="C37" s="5" t="n">
        <v>1</v>
      </c>
      <c r="D37" s="5" t="s">
        <v>257</v>
      </c>
      <c r="E37" s="5" t="s">
        <v>1426</v>
      </c>
      <c r="F37" s="5" t="n">
        <v>2024</v>
      </c>
      <c r="G37" s="5" t="s">
        <v>385</v>
      </c>
      <c r="H37" s="5" t="s">
        <v>233</v>
      </c>
      <c r="I37" s="5" t="s">
        <v>259</v>
      </c>
      <c r="J37" s="5" t="s">
        <v>218</v>
      </c>
      <c r="K37" s="5" t="s">
        <v>194</v>
      </c>
      <c r="L37" s="5" t="s">
        <v>1341</v>
      </c>
      <c r="M37" s="5" t="s">
        <v>1427</v>
      </c>
      <c r="N37" s="5" t="s">
        <v>1428</v>
      </c>
      <c r="O37" s="5" t="n">
        <v>1</v>
      </c>
      <c r="P37" s="5" t="s">
        <v>1265</v>
      </c>
      <c r="Q37" s="5" t="s">
        <v>1429</v>
      </c>
    </row>
    <row r="38" customFormat="false" ht="270.1" hidden="false" customHeight="false" outlineLevel="0" collapsed="false">
      <c r="A38" s="5" t="s">
        <v>1430</v>
      </c>
      <c r="B38" s="5" t="s">
        <v>1287</v>
      </c>
      <c r="C38" s="5" t="n">
        <v>1</v>
      </c>
      <c r="D38" s="5" t="s">
        <v>1431</v>
      </c>
      <c r="E38" s="5" t="s">
        <v>1432</v>
      </c>
      <c r="F38" s="5" t="n">
        <v>2026</v>
      </c>
      <c r="G38" s="5" t="s">
        <v>385</v>
      </c>
      <c r="H38" s="5" t="s">
        <v>228</v>
      </c>
      <c r="I38" s="5" t="s">
        <v>1433</v>
      </c>
      <c r="J38" s="5" t="s">
        <v>218</v>
      </c>
      <c r="K38" s="5" t="s">
        <v>218</v>
      </c>
      <c r="L38" s="5" t="s">
        <v>1263</v>
      </c>
      <c r="M38" s="5" t="s">
        <v>397</v>
      </c>
      <c r="N38" s="5" t="s">
        <v>1264</v>
      </c>
      <c r="O38" s="5" t="n">
        <v>1</v>
      </c>
      <c r="P38" s="5" t="s">
        <v>1294</v>
      </c>
      <c r="Q38" s="5" t="s">
        <v>1434</v>
      </c>
    </row>
    <row r="39" customFormat="false" ht="256.7" hidden="false" customHeight="false" outlineLevel="0" collapsed="false">
      <c r="A39" s="5" t="s">
        <v>1435</v>
      </c>
      <c r="B39" s="5" t="s">
        <v>1259</v>
      </c>
      <c r="C39" s="5" t="n">
        <v>1</v>
      </c>
      <c r="D39" s="5" t="s">
        <v>1436</v>
      </c>
      <c r="E39" s="5" t="s">
        <v>1437</v>
      </c>
      <c r="F39" s="5" t="n">
        <v>2026</v>
      </c>
      <c r="G39" s="5" t="s">
        <v>385</v>
      </c>
      <c r="H39" s="5" t="s">
        <v>233</v>
      </c>
      <c r="I39" s="5" t="s">
        <v>1438</v>
      </c>
      <c r="J39" s="5" t="s">
        <v>218</v>
      </c>
      <c r="K39" s="5" t="s">
        <v>218</v>
      </c>
      <c r="L39" s="5" t="s">
        <v>1263</v>
      </c>
      <c r="M39" s="5" t="s">
        <v>397</v>
      </c>
      <c r="N39" s="5" t="s">
        <v>1264</v>
      </c>
      <c r="O39" s="5" t="n">
        <v>1</v>
      </c>
      <c r="P39" s="5" t="s">
        <v>1265</v>
      </c>
      <c r="Q39" s="5" t="s">
        <v>1439</v>
      </c>
    </row>
    <row r="40" customFormat="false" ht="229.85" hidden="false" customHeight="false" outlineLevel="0" collapsed="false">
      <c r="A40" s="5" t="s">
        <v>1440</v>
      </c>
      <c r="B40" s="5" t="s">
        <v>1259</v>
      </c>
      <c r="C40" s="5" t="n">
        <v>1</v>
      </c>
      <c r="D40" s="5" t="s">
        <v>640</v>
      </c>
      <c r="E40" s="5" t="s">
        <v>1441</v>
      </c>
      <c r="F40" s="5" t="n">
        <v>2021</v>
      </c>
      <c r="G40" s="5" t="s">
        <v>385</v>
      </c>
      <c r="H40" s="5" t="s">
        <v>254</v>
      </c>
      <c r="I40" s="5" t="s">
        <v>642</v>
      </c>
      <c r="J40" s="5" t="s">
        <v>194</v>
      </c>
      <c r="K40" s="5" t="s">
        <v>1305</v>
      </c>
      <c r="L40" s="5" t="s">
        <v>1306</v>
      </c>
      <c r="M40" s="5" t="s">
        <v>1307</v>
      </c>
      <c r="N40" s="5" t="s">
        <v>1308</v>
      </c>
      <c r="O40" s="5" t="n">
        <v>1</v>
      </c>
      <c r="P40" s="5" t="s">
        <v>1265</v>
      </c>
      <c r="Q40" s="5" t="s">
        <v>643</v>
      </c>
    </row>
    <row r="41" customFormat="false" ht="216.4" hidden="false" customHeight="false" outlineLevel="0" collapsed="false">
      <c r="A41" s="5" t="s">
        <v>1442</v>
      </c>
      <c r="B41" s="5" t="s">
        <v>1259</v>
      </c>
      <c r="C41" s="5" t="n">
        <v>1</v>
      </c>
      <c r="D41" s="5" t="s">
        <v>1443</v>
      </c>
      <c r="E41" s="5" t="s">
        <v>1444</v>
      </c>
      <c r="F41" s="5" t="n">
        <v>2026</v>
      </c>
      <c r="G41" s="5" t="s">
        <v>385</v>
      </c>
      <c r="H41" s="5" t="s">
        <v>1445</v>
      </c>
      <c r="I41" s="5" t="s">
        <v>1446</v>
      </c>
      <c r="J41" s="5" t="s">
        <v>218</v>
      </c>
      <c r="K41" s="5" t="s">
        <v>218</v>
      </c>
      <c r="L41" s="5" t="s">
        <v>1263</v>
      </c>
      <c r="M41" s="5" t="s">
        <v>397</v>
      </c>
      <c r="N41" s="5" t="s">
        <v>1264</v>
      </c>
      <c r="O41" s="5" t="n">
        <v>1</v>
      </c>
      <c r="P41" s="5" t="s">
        <v>1265</v>
      </c>
      <c r="Q41" s="5" t="s">
        <v>1447</v>
      </c>
    </row>
    <row r="42" customFormat="false" ht="297" hidden="false" customHeight="false" outlineLevel="0" collapsed="false">
      <c r="A42" s="5" t="s">
        <v>1448</v>
      </c>
      <c r="B42" s="5" t="s">
        <v>1268</v>
      </c>
      <c r="C42" s="5" t="n">
        <v>2</v>
      </c>
      <c r="D42" s="5" t="s">
        <v>645</v>
      </c>
      <c r="E42" s="5" t="s">
        <v>1449</v>
      </c>
      <c r="F42" s="5" t="n">
        <v>2025</v>
      </c>
      <c r="G42" s="5" t="s">
        <v>385</v>
      </c>
      <c r="H42" s="5" t="s">
        <v>459</v>
      </c>
      <c r="I42" s="5" t="s">
        <v>647</v>
      </c>
      <c r="J42" s="5" t="s">
        <v>194</v>
      </c>
      <c r="K42" s="5" t="s">
        <v>1305</v>
      </c>
      <c r="L42" s="5" t="s">
        <v>1306</v>
      </c>
      <c r="M42" s="5" t="s">
        <v>1307</v>
      </c>
      <c r="N42" s="5" t="s">
        <v>1308</v>
      </c>
      <c r="O42" s="5" t="n">
        <v>2</v>
      </c>
      <c r="P42" s="5" t="s">
        <v>1272</v>
      </c>
      <c r="Q42" s="5" t="s">
        <v>1450</v>
      </c>
    </row>
    <row r="43" customFormat="false" ht="202.95" hidden="false" customHeight="false" outlineLevel="0" collapsed="false">
      <c r="A43" s="5" t="s">
        <v>1451</v>
      </c>
      <c r="B43" s="5" t="s">
        <v>1259</v>
      </c>
      <c r="C43" s="5" t="n">
        <v>1</v>
      </c>
      <c r="D43" s="5" t="s">
        <v>1452</v>
      </c>
      <c r="E43" s="5" t="s">
        <v>1453</v>
      </c>
      <c r="F43" s="5" t="n">
        <v>2025</v>
      </c>
      <c r="G43" s="5" t="s">
        <v>385</v>
      </c>
      <c r="H43" s="5" t="s">
        <v>233</v>
      </c>
      <c r="I43" s="5" t="s">
        <v>1454</v>
      </c>
      <c r="J43" s="5" t="s">
        <v>218</v>
      </c>
      <c r="K43" s="5" t="s">
        <v>218</v>
      </c>
      <c r="L43" s="5" t="s">
        <v>1263</v>
      </c>
      <c r="M43" s="5" t="s">
        <v>397</v>
      </c>
      <c r="N43" s="5" t="s">
        <v>1264</v>
      </c>
      <c r="O43" s="5" t="n">
        <v>1</v>
      </c>
      <c r="P43" s="5" t="s">
        <v>1265</v>
      </c>
      <c r="Q43" s="5" t="s">
        <v>1455</v>
      </c>
    </row>
    <row r="44" customFormat="false" ht="229.85" hidden="false" customHeight="false" outlineLevel="0" collapsed="false">
      <c r="A44" s="5" t="s">
        <v>1456</v>
      </c>
      <c r="B44" s="5" t="s">
        <v>1287</v>
      </c>
      <c r="C44" s="5" t="n">
        <v>1</v>
      </c>
      <c r="D44" s="5" t="s">
        <v>687</v>
      </c>
      <c r="E44" s="5" t="s">
        <v>688</v>
      </c>
      <c r="F44" s="5" t="n">
        <v>2025</v>
      </c>
      <c r="G44" s="5" t="s">
        <v>385</v>
      </c>
      <c r="H44" s="5" t="s">
        <v>228</v>
      </c>
      <c r="I44" s="5" t="s">
        <v>689</v>
      </c>
      <c r="J44" s="5" t="s">
        <v>194</v>
      </c>
      <c r="K44" s="5" t="s">
        <v>1305</v>
      </c>
      <c r="L44" s="5" t="s">
        <v>1306</v>
      </c>
      <c r="M44" s="5" t="s">
        <v>1307</v>
      </c>
      <c r="N44" s="5" t="s">
        <v>1308</v>
      </c>
      <c r="O44" s="5" t="n">
        <v>1</v>
      </c>
      <c r="P44" s="5" t="s">
        <v>1294</v>
      </c>
      <c r="Q44" s="5" t="s">
        <v>690</v>
      </c>
    </row>
    <row r="45" customFormat="false" ht="283.55" hidden="false" customHeight="false" outlineLevel="0" collapsed="false">
      <c r="A45" s="5" t="s">
        <v>1457</v>
      </c>
      <c r="B45" s="5" t="s">
        <v>1259</v>
      </c>
      <c r="C45" s="5" t="n">
        <v>1</v>
      </c>
      <c r="D45" s="5" t="s">
        <v>1458</v>
      </c>
      <c r="E45" s="5" t="s">
        <v>1459</v>
      </c>
      <c r="F45" s="5" t="n">
        <v>2026</v>
      </c>
      <c r="G45" s="5" t="s">
        <v>385</v>
      </c>
      <c r="H45" s="5" t="s">
        <v>1460</v>
      </c>
      <c r="I45" s="5" t="s">
        <v>1461</v>
      </c>
      <c r="J45" s="5" t="s">
        <v>218</v>
      </c>
      <c r="K45" s="5" t="s">
        <v>218</v>
      </c>
      <c r="L45" s="5" t="s">
        <v>1263</v>
      </c>
      <c r="M45" s="5" t="s">
        <v>397</v>
      </c>
      <c r="N45" s="5" t="s">
        <v>1264</v>
      </c>
      <c r="O45" s="5" t="n">
        <v>1</v>
      </c>
      <c r="P45" s="5" t="s">
        <v>1265</v>
      </c>
      <c r="Q45" s="5" t="s">
        <v>1462</v>
      </c>
    </row>
    <row r="46" customFormat="false" ht="149.25" hidden="false" customHeight="false" outlineLevel="0" collapsed="false">
      <c r="A46" s="5" t="s">
        <v>1463</v>
      </c>
      <c r="B46" s="5" t="s">
        <v>1259</v>
      </c>
      <c r="C46" s="5" t="n">
        <v>1</v>
      </c>
      <c r="D46" s="5" t="s">
        <v>1464</v>
      </c>
      <c r="E46" s="5" t="s">
        <v>1465</v>
      </c>
      <c r="F46" s="5" t="n">
        <v>2021</v>
      </c>
      <c r="G46" s="5" t="s">
        <v>385</v>
      </c>
      <c r="H46" s="5" t="s">
        <v>209</v>
      </c>
      <c r="I46" s="5" t="s">
        <v>1466</v>
      </c>
      <c r="J46" s="5" t="s">
        <v>218</v>
      </c>
      <c r="K46" s="5" t="s">
        <v>218</v>
      </c>
      <c r="L46" s="5" t="s">
        <v>1263</v>
      </c>
      <c r="M46" s="5" t="s">
        <v>389</v>
      </c>
      <c r="N46" s="5" t="s">
        <v>1264</v>
      </c>
      <c r="O46" s="5" t="n">
        <v>1</v>
      </c>
      <c r="P46" s="5" t="s">
        <v>1265</v>
      </c>
      <c r="Q46" s="5" t="s">
        <v>1467</v>
      </c>
    </row>
    <row r="47" customFormat="false" ht="229.85" hidden="false" customHeight="false" outlineLevel="0" collapsed="false">
      <c r="A47" s="5" t="s">
        <v>1468</v>
      </c>
      <c r="B47" s="5" t="s">
        <v>1280</v>
      </c>
      <c r="C47" s="5" t="n">
        <v>1</v>
      </c>
      <c r="D47" s="5" t="s">
        <v>1469</v>
      </c>
      <c r="E47" s="5" t="s">
        <v>1470</v>
      </c>
      <c r="F47" s="5" t="n">
        <v>2025</v>
      </c>
      <c r="G47" s="5" t="s">
        <v>385</v>
      </c>
      <c r="H47" s="5" t="s">
        <v>453</v>
      </c>
      <c r="I47" s="5" t="s">
        <v>1471</v>
      </c>
      <c r="J47" s="5" t="s">
        <v>218</v>
      </c>
      <c r="K47" s="5" t="s">
        <v>218</v>
      </c>
      <c r="L47" s="5" t="s">
        <v>1263</v>
      </c>
      <c r="M47" s="5" t="s">
        <v>397</v>
      </c>
      <c r="N47" s="5" t="s">
        <v>1264</v>
      </c>
      <c r="O47" s="5" t="n">
        <v>1</v>
      </c>
      <c r="P47" s="5" t="s">
        <v>1284</v>
      </c>
      <c r="Q47" s="5" t="s">
        <v>1472</v>
      </c>
    </row>
    <row r="48" customFormat="false" ht="216.4" hidden="false" customHeight="false" outlineLevel="0" collapsed="false">
      <c r="A48" s="5" t="s">
        <v>1473</v>
      </c>
      <c r="B48" s="5" t="s">
        <v>1259</v>
      </c>
      <c r="C48" s="5" t="n">
        <v>1</v>
      </c>
      <c r="D48" s="5" t="s">
        <v>710</v>
      </c>
      <c r="E48" s="5" t="s">
        <v>711</v>
      </c>
      <c r="F48" s="5" t="n">
        <v>2023</v>
      </c>
      <c r="G48" s="5" t="s">
        <v>385</v>
      </c>
      <c r="H48" s="5" t="s">
        <v>703</v>
      </c>
      <c r="I48" s="5" t="s">
        <v>712</v>
      </c>
      <c r="J48" s="5" t="s">
        <v>194</v>
      </c>
      <c r="K48" s="5" t="s">
        <v>1305</v>
      </c>
      <c r="L48" s="5" t="s">
        <v>1306</v>
      </c>
      <c r="M48" s="5" t="s">
        <v>1307</v>
      </c>
      <c r="N48" s="5" t="s">
        <v>1308</v>
      </c>
      <c r="O48" s="5" t="n">
        <v>1</v>
      </c>
      <c r="P48" s="5" t="s">
        <v>1265</v>
      </c>
      <c r="Q48" s="5" t="s">
        <v>1474</v>
      </c>
    </row>
    <row r="49" customFormat="false" ht="202.95" hidden="false" customHeight="false" outlineLevel="0" collapsed="false">
      <c r="A49" s="5" t="s">
        <v>1475</v>
      </c>
      <c r="B49" s="5" t="s">
        <v>1259</v>
      </c>
      <c r="C49" s="5" t="n">
        <v>1</v>
      </c>
      <c r="D49" s="5" t="s">
        <v>714</v>
      </c>
      <c r="E49" s="5" t="s">
        <v>715</v>
      </c>
      <c r="F49" s="5" t="n">
        <v>2024</v>
      </c>
      <c r="G49" s="5" t="s">
        <v>385</v>
      </c>
      <c r="H49" s="5" t="s">
        <v>716</v>
      </c>
      <c r="I49" s="5" t="s">
        <v>717</v>
      </c>
      <c r="J49" s="5" t="s">
        <v>194</v>
      </c>
      <c r="K49" s="5" t="s">
        <v>1305</v>
      </c>
      <c r="L49" s="5" t="s">
        <v>1306</v>
      </c>
      <c r="M49" s="5" t="s">
        <v>1307</v>
      </c>
      <c r="N49" s="5" t="s">
        <v>1308</v>
      </c>
      <c r="O49" s="5" t="n">
        <v>1</v>
      </c>
      <c r="P49" s="5" t="s">
        <v>1265</v>
      </c>
      <c r="Q49" s="5" t="s">
        <v>1476</v>
      </c>
    </row>
    <row r="50" customFormat="false" ht="162.65" hidden="false" customHeight="false" outlineLevel="0" collapsed="false">
      <c r="A50" s="5" t="s">
        <v>1477</v>
      </c>
      <c r="B50" s="5" t="s">
        <v>1287</v>
      </c>
      <c r="C50" s="5" t="n">
        <v>1</v>
      </c>
      <c r="D50" s="5" t="s">
        <v>1478</v>
      </c>
      <c r="E50" s="5" t="s">
        <v>1479</v>
      </c>
      <c r="F50" s="5" t="n">
        <v>2024</v>
      </c>
      <c r="G50" s="5" t="s">
        <v>385</v>
      </c>
      <c r="H50" s="5" t="s">
        <v>228</v>
      </c>
      <c r="I50" s="5" t="s">
        <v>1480</v>
      </c>
      <c r="J50" s="5" t="s">
        <v>218</v>
      </c>
      <c r="K50" s="5" t="s">
        <v>218</v>
      </c>
      <c r="L50" s="5" t="s">
        <v>1263</v>
      </c>
      <c r="M50" s="5" t="s">
        <v>397</v>
      </c>
      <c r="N50" s="5" t="s">
        <v>1264</v>
      </c>
      <c r="O50" s="5" t="n">
        <v>1</v>
      </c>
      <c r="P50" s="5" t="s">
        <v>1294</v>
      </c>
      <c r="Q50" s="5" t="s">
        <v>1481</v>
      </c>
    </row>
    <row r="51" customFormat="false" ht="176.1" hidden="false" customHeight="false" outlineLevel="0" collapsed="false">
      <c r="A51" s="5" t="s">
        <v>1482</v>
      </c>
      <c r="B51" s="5" t="s">
        <v>1312</v>
      </c>
      <c r="C51" s="5" t="n">
        <v>2</v>
      </c>
      <c r="D51" s="5" t="s">
        <v>746</v>
      </c>
      <c r="E51" s="5" t="s">
        <v>747</v>
      </c>
      <c r="F51" s="5" t="n">
        <v>2021</v>
      </c>
      <c r="G51" s="5" t="s">
        <v>385</v>
      </c>
      <c r="H51" s="5" t="s">
        <v>748</v>
      </c>
      <c r="I51" s="5" t="s">
        <v>749</v>
      </c>
      <c r="J51" s="5" t="s">
        <v>194</v>
      </c>
      <c r="K51" s="5" t="s">
        <v>1305</v>
      </c>
      <c r="L51" s="5" t="s">
        <v>1306</v>
      </c>
      <c r="M51" s="5" t="s">
        <v>1307</v>
      </c>
      <c r="N51" s="5" t="s">
        <v>1308</v>
      </c>
      <c r="O51" s="5" t="n">
        <v>2</v>
      </c>
      <c r="P51" s="5" t="s">
        <v>1313</v>
      </c>
      <c r="Q51" s="5" t="s">
        <v>1483</v>
      </c>
    </row>
    <row r="52" customFormat="false" ht="162.65" hidden="false" customHeight="false" outlineLevel="0" collapsed="false">
      <c r="A52" s="5" t="s">
        <v>1484</v>
      </c>
      <c r="B52" s="5" t="s">
        <v>1259</v>
      </c>
      <c r="C52" s="5" t="n">
        <v>1</v>
      </c>
      <c r="D52" s="5" t="s">
        <v>1485</v>
      </c>
      <c r="E52" s="5" t="s">
        <v>1486</v>
      </c>
      <c r="F52" s="5" t="n">
        <v>2023</v>
      </c>
      <c r="G52" s="5" t="s">
        <v>385</v>
      </c>
      <c r="H52" s="5" t="s">
        <v>233</v>
      </c>
      <c r="I52" s="5" t="s">
        <v>1487</v>
      </c>
      <c r="J52" s="5" t="s">
        <v>218</v>
      </c>
      <c r="K52" s="5" t="s">
        <v>218</v>
      </c>
      <c r="L52" s="5" t="s">
        <v>1263</v>
      </c>
      <c r="M52" s="5" t="s">
        <v>397</v>
      </c>
      <c r="N52" s="5" t="s">
        <v>1264</v>
      </c>
      <c r="O52" s="5" t="n">
        <v>1</v>
      </c>
      <c r="P52" s="5" t="s">
        <v>1265</v>
      </c>
      <c r="Q52" s="5" t="s">
        <v>1488</v>
      </c>
    </row>
    <row r="53" customFormat="false" ht="135.8" hidden="false" customHeight="false" outlineLevel="0" collapsed="false">
      <c r="A53" s="5" t="s">
        <v>1489</v>
      </c>
      <c r="B53" s="5" t="s">
        <v>1287</v>
      </c>
      <c r="C53" s="5" t="n">
        <v>1</v>
      </c>
      <c r="D53" s="5" t="s">
        <v>766</v>
      </c>
      <c r="E53" s="5" t="s">
        <v>767</v>
      </c>
      <c r="F53" s="5" t="n">
        <v>2020</v>
      </c>
      <c r="G53" s="5" t="s">
        <v>385</v>
      </c>
      <c r="H53" s="5" t="s">
        <v>673</v>
      </c>
      <c r="I53" s="5" t="s">
        <v>768</v>
      </c>
      <c r="J53" s="5" t="s">
        <v>194</v>
      </c>
      <c r="K53" s="5" t="s">
        <v>1305</v>
      </c>
      <c r="L53" s="5" t="s">
        <v>1306</v>
      </c>
      <c r="M53" s="5" t="s">
        <v>1307</v>
      </c>
      <c r="N53" s="5" t="s">
        <v>1308</v>
      </c>
      <c r="O53" s="5" t="n">
        <v>1</v>
      </c>
      <c r="P53" s="5" t="s">
        <v>1294</v>
      </c>
      <c r="Q53" s="5" t="s">
        <v>769</v>
      </c>
    </row>
    <row r="54" customFormat="false" ht="243.25" hidden="false" customHeight="false" outlineLevel="0" collapsed="false">
      <c r="A54" s="5" t="s">
        <v>1490</v>
      </c>
      <c r="B54" s="5" t="s">
        <v>1259</v>
      </c>
      <c r="C54" s="5" t="n">
        <v>1</v>
      </c>
      <c r="D54" s="5" t="s">
        <v>1491</v>
      </c>
      <c r="E54" s="5" t="s">
        <v>1492</v>
      </c>
      <c r="F54" s="5" t="n">
        <v>2026</v>
      </c>
      <c r="G54" s="5" t="s">
        <v>385</v>
      </c>
      <c r="H54" s="5" t="s">
        <v>1493</v>
      </c>
      <c r="I54" s="5" t="s">
        <v>1494</v>
      </c>
      <c r="J54" s="5" t="s">
        <v>218</v>
      </c>
      <c r="K54" s="5" t="s">
        <v>218</v>
      </c>
      <c r="L54" s="5" t="s">
        <v>1263</v>
      </c>
      <c r="M54" s="5" t="s">
        <v>389</v>
      </c>
      <c r="N54" s="5" t="s">
        <v>1264</v>
      </c>
      <c r="O54" s="5" t="n">
        <v>1</v>
      </c>
      <c r="P54" s="5" t="s">
        <v>1265</v>
      </c>
      <c r="Q54" s="5" t="s">
        <v>1495</v>
      </c>
    </row>
    <row r="55" customFormat="false" ht="122.35" hidden="false" customHeight="false" outlineLevel="0" collapsed="false">
      <c r="A55" s="5" t="s">
        <v>1496</v>
      </c>
      <c r="B55" s="5" t="s">
        <v>1287</v>
      </c>
      <c r="C55" s="5" t="n">
        <v>1</v>
      </c>
      <c r="D55" s="5" t="s">
        <v>1497</v>
      </c>
      <c r="E55" s="5" t="s">
        <v>1498</v>
      </c>
      <c r="F55" s="5" t="n">
        <v>2021</v>
      </c>
      <c r="G55" s="5" t="s">
        <v>1290</v>
      </c>
      <c r="H55" s="5" t="s">
        <v>1499</v>
      </c>
      <c r="I55" s="5" t="s">
        <v>1500</v>
      </c>
      <c r="J55" s="5" t="s">
        <v>218</v>
      </c>
      <c r="K55" s="5" t="s">
        <v>218</v>
      </c>
      <c r="L55" s="5" t="s">
        <v>1263</v>
      </c>
      <c r="M55" s="5" t="s">
        <v>1293</v>
      </c>
      <c r="N55" s="5"/>
      <c r="O55" s="5" t="n">
        <v>1</v>
      </c>
      <c r="P55" s="5" t="s">
        <v>1294</v>
      </c>
      <c r="Q55" s="5" t="s">
        <v>1501</v>
      </c>
    </row>
    <row r="56" customFormat="false" ht="176.1" hidden="false" customHeight="false" outlineLevel="0" collapsed="false">
      <c r="A56" s="5" t="s">
        <v>1502</v>
      </c>
      <c r="B56" s="5" t="s">
        <v>1303</v>
      </c>
      <c r="C56" s="5" t="n">
        <v>2</v>
      </c>
      <c r="D56" s="5" t="s">
        <v>1503</v>
      </c>
      <c r="E56" s="5" t="s">
        <v>1504</v>
      </c>
      <c r="F56" s="5" t="n">
        <v>2025</v>
      </c>
      <c r="G56" s="5" t="s">
        <v>385</v>
      </c>
      <c r="H56" s="5" t="s">
        <v>1505</v>
      </c>
      <c r="I56" s="5" t="s">
        <v>1506</v>
      </c>
      <c r="J56" s="5" t="s">
        <v>218</v>
      </c>
      <c r="K56" s="5" t="s">
        <v>218</v>
      </c>
      <c r="L56" s="5" t="s">
        <v>1263</v>
      </c>
      <c r="M56" s="5" t="s">
        <v>397</v>
      </c>
      <c r="N56" s="5" t="s">
        <v>1264</v>
      </c>
      <c r="O56" s="5" t="n">
        <v>2</v>
      </c>
      <c r="P56" s="5" t="s">
        <v>1309</v>
      </c>
      <c r="Q56" s="5" t="s">
        <v>1507</v>
      </c>
    </row>
    <row r="57" customFormat="false" ht="189.55" hidden="false" customHeight="false" outlineLevel="0" collapsed="false">
      <c r="A57" s="5" t="s">
        <v>1508</v>
      </c>
      <c r="B57" s="5" t="s">
        <v>1509</v>
      </c>
      <c r="C57" s="5" t="n">
        <v>1</v>
      </c>
      <c r="D57" s="5" t="s">
        <v>1510</v>
      </c>
      <c r="E57" s="5" t="s">
        <v>1511</v>
      </c>
      <c r="F57" s="5" t="n">
        <v>2026</v>
      </c>
      <c r="G57" s="5" t="s">
        <v>385</v>
      </c>
      <c r="H57" s="5" t="s">
        <v>276</v>
      </c>
      <c r="I57" s="5" t="s">
        <v>1512</v>
      </c>
      <c r="J57" s="5" t="s">
        <v>218</v>
      </c>
      <c r="K57" s="5" t="s">
        <v>218</v>
      </c>
      <c r="L57" s="5" t="s">
        <v>1263</v>
      </c>
      <c r="M57" s="5" t="s">
        <v>397</v>
      </c>
      <c r="N57" s="5" t="s">
        <v>1264</v>
      </c>
      <c r="O57" s="5" t="n">
        <v>1</v>
      </c>
      <c r="P57" s="5" t="s">
        <v>1513</v>
      </c>
      <c r="Q57" s="5" t="s">
        <v>1514</v>
      </c>
    </row>
    <row r="58" customFormat="false" ht="176.1" hidden="false" customHeight="false" outlineLevel="0" collapsed="false">
      <c r="A58" s="5" t="s">
        <v>1515</v>
      </c>
      <c r="B58" s="5" t="s">
        <v>1259</v>
      </c>
      <c r="C58" s="5" t="n">
        <v>1</v>
      </c>
      <c r="D58" s="5" t="s">
        <v>1516</v>
      </c>
      <c r="E58" s="5" t="s">
        <v>1517</v>
      </c>
      <c r="F58" s="5" t="n">
        <v>2025</v>
      </c>
      <c r="G58" s="5" t="s">
        <v>385</v>
      </c>
      <c r="H58" s="5" t="s">
        <v>1518</v>
      </c>
      <c r="I58" s="5" t="s">
        <v>1519</v>
      </c>
      <c r="J58" s="5" t="s">
        <v>218</v>
      </c>
      <c r="K58" s="5" t="s">
        <v>218</v>
      </c>
      <c r="L58" s="5" t="s">
        <v>1263</v>
      </c>
      <c r="M58" s="5" t="s">
        <v>389</v>
      </c>
      <c r="N58" s="5" t="s">
        <v>1264</v>
      </c>
      <c r="O58" s="5" t="n">
        <v>1</v>
      </c>
      <c r="P58" s="5" t="s">
        <v>1265</v>
      </c>
      <c r="Q58" s="5" t="s">
        <v>1520</v>
      </c>
    </row>
    <row r="59" customFormat="false" ht="202.95" hidden="false" customHeight="false" outlineLevel="0" collapsed="false">
      <c r="A59" s="5" t="s">
        <v>1521</v>
      </c>
      <c r="B59" s="5" t="s">
        <v>1287</v>
      </c>
      <c r="C59" s="5" t="n">
        <v>1</v>
      </c>
      <c r="D59" s="5" t="s">
        <v>1522</v>
      </c>
      <c r="E59" s="5" t="s">
        <v>1523</v>
      </c>
      <c r="F59" s="5" t="n">
        <v>2026</v>
      </c>
      <c r="G59" s="5" t="s">
        <v>385</v>
      </c>
      <c r="H59" s="5" t="s">
        <v>228</v>
      </c>
      <c r="I59" s="5" t="s">
        <v>1524</v>
      </c>
      <c r="J59" s="5" t="s">
        <v>218</v>
      </c>
      <c r="K59" s="5" t="s">
        <v>218</v>
      </c>
      <c r="L59" s="5" t="s">
        <v>1263</v>
      </c>
      <c r="M59" s="5" t="s">
        <v>397</v>
      </c>
      <c r="N59" s="5" t="s">
        <v>1264</v>
      </c>
      <c r="O59" s="5" t="n">
        <v>1</v>
      </c>
      <c r="P59" s="5" t="s">
        <v>1294</v>
      </c>
      <c r="Q59" s="5" t="s">
        <v>1525</v>
      </c>
    </row>
    <row r="60" customFormat="false" ht="229.85" hidden="false" customHeight="false" outlineLevel="0" collapsed="false">
      <c r="A60" s="5" t="s">
        <v>1526</v>
      </c>
      <c r="B60" s="5" t="s">
        <v>1259</v>
      </c>
      <c r="C60" s="5" t="n">
        <v>1</v>
      </c>
      <c r="D60" s="5" t="s">
        <v>1527</v>
      </c>
      <c r="E60" s="5" t="s">
        <v>1528</v>
      </c>
      <c r="F60" s="5" t="n">
        <v>2023</v>
      </c>
      <c r="G60" s="5" t="s">
        <v>385</v>
      </c>
      <c r="H60" s="5" t="s">
        <v>254</v>
      </c>
      <c r="I60" s="5" t="s">
        <v>851</v>
      </c>
      <c r="J60" s="5" t="s">
        <v>194</v>
      </c>
      <c r="K60" s="5" t="s">
        <v>1305</v>
      </c>
      <c r="L60" s="5" t="s">
        <v>1306</v>
      </c>
      <c r="M60" s="5" t="s">
        <v>1307</v>
      </c>
      <c r="N60" s="5" t="s">
        <v>1308</v>
      </c>
      <c r="O60" s="5" t="n">
        <v>1</v>
      </c>
      <c r="P60" s="5" t="s">
        <v>1265</v>
      </c>
      <c r="Q60" s="5" t="s">
        <v>1529</v>
      </c>
    </row>
    <row r="61" customFormat="false" ht="189.55" hidden="false" customHeight="false" outlineLevel="0" collapsed="false">
      <c r="A61" s="5" t="s">
        <v>1530</v>
      </c>
      <c r="B61" s="5" t="s">
        <v>1259</v>
      </c>
      <c r="C61" s="5" t="n">
        <v>1</v>
      </c>
      <c r="D61" s="5" t="s">
        <v>1531</v>
      </c>
      <c r="E61" s="5" t="s">
        <v>1532</v>
      </c>
      <c r="F61" s="5" t="n">
        <v>2026</v>
      </c>
      <c r="G61" s="5" t="s">
        <v>385</v>
      </c>
      <c r="H61" s="5" t="s">
        <v>233</v>
      </c>
      <c r="I61" s="5" t="s">
        <v>1533</v>
      </c>
      <c r="J61" s="5" t="s">
        <v>218</v>
      </c>
      <c r="K61" s="5" t="s">
        <v>218</v>
      </c>
      <c r="L61" s="5" t="s">
        <v>1263</v>
      </c>
      <c r="M61" s="5" t="s">
        <v>397</v>
      </c>
      <c r="N61" s="5" t="s">
        <v>1264</v>
      </c>
      <c r="O61" s="5" t="n">
        <v>1</v>
      </c>
      <c r="P61" s="5" t="s">
        <v>1265</v>
      </c>
      <c r="Q61" s="5" t="s">
        <v>1534</v>
      </c>
    </row>
    <row r="62" customFormat="false" ht="149.25" hidden="false" customHeight="false" outlineLevel="0" collapsed="false">
      <c r="A62" s="5" t="s">
        <v>1535</v>
      </c>
      <c r="B62" s="5" t="s">
        <v>1312</v>
      </c>
      <c r="C62" s="5" t="n">
        <v>2</v>
      </c>
      <c r="D62" s="5" t="s">
        <v>1536</v>
      </c>
      <c r="E62" s="5" t="s">
        <v>1537</v>
      </c>
      <c r="F62" s="5" t="n">
        <v>2022</v>
      </c>
      <c r="G62" s="5" t="s">
        <v>385</v>
      </c>
      <c r="H62" s="5" t="s">
        <v>703</v>
      </c>
      <c r="I62" s="5" t="s">
        <v>1538</v>
      </c>
      <c r="J62" s="5" t="s">
        <v>218</v>
      </c>
      <c r="K62" s="5" t="s">
        <v>218</v>
      </c>
      <c r="L62" s="5" t="s">
        <v>1263</v>
      </c>
      <c r="M62" s="5" t="s">
        <v>1539</v>
      </c>
      <c r="N62" s="5" t="s">
        <v>1540</v>
      </c>
      <c r="O62" s="5" t="n">
        <v>2</v>
      </c>
      <c r="P62" s="5" t="s">
        <v>1313</v>
      </c>
      <c r="Q62" s="5" t="s">
        <v>1541</v>
      </c>
    </row>
    <row r="63" customFormat="false" ht="202.95" hidden="false" customHeight="false" outlineLevel="0" collapsed="false">
      <c r="A63" s="5" t="s">
        <v>1542</v>
      </c>
      <c r="B63" s="5" t="s">
        <v>1280</v>
      </c>
      <c r="C63" s="5" t="n">
        <v>1</v>
      </c>
      <c r="D63" s="5" t="s">
        <v>1543</v>
      </c>
      <c r="E63" s="5" t="s">
        <v>1544</v>
      </c>
      <c r="F63" s="5" t="n">
        <v>2025</v>
      </c>
      <c r="G63" s="5" t="s">
        <v>385</v>
      </c>
      <c r="H63" s="5" t="s">
        <v>1545</v>
      </c>
      <c r="I63" s="5" t="s">
        <v>1546</v>
      </c>
      <c r="J63" s="5" t="s">
        <v>218</v>
      </c>
      <c r="K63" s="5" t="s">
        <v>218</v>
      </c>
      <c r="L63" s="5" t="s">
        <v>1263</v>
      </c>
      <c r="M63" s="5" t="s">
        <v>397</v>
      </c>
      <c r="N63" s="5" t="s">
        <v>1264</v>
      </c>
      <c r="O63" s="5" t="n">
        <v>1</v>
      </c>
      <c r="P63" s="5" t="s">
        <v>1284</v>
      </c>
      <c r="Q63" s="5" t="s">
        <v>1547</v>
      </c>
    </row>
    <row r="64" customFormat="false" ht="229.85" hidden="false" customHeight="false" outlineLevel="0" collapsed="false">
      <c r="A64" s="5" t="s">
        <v>1548</v>
      </c>
      <c r="B64" s="5" t="s">
        <v>1280</v>
      </c>
      <c r="C64" s="5" t="n">
        <v>1</v>
      </c>
      <c r="D64" s="5" t="s">
        <v>1549</v>
      </c>
      <c r="E64" s="5" t="s">
        <v>1550</v>
      </c>
      <c r="F64" s="5" t="n">
        <v>2026</v>
      </c>
      <c r="G64" s="5" t="s">
        <v>385</v>
      </c>
      <c r="H64" s="5" t="s">
        <v>204</v>
      </c>
      <c r="I64" s="5" t="s">
        <v>1551</v>
      </c>
      <c r="J64" s="5" t="s">
        <v>218</v>
      </c>
      <c r="K64" s="5" t="s">
        <v>218</v>
      </c>
      <c r="L64" s="5" t="s">
        <v>1263</v>
      </c>
      <c r="M64" s="5" t="s">
        <v>397</v>
      </c>
      <c r="N64" s="5" t="s">
        <v>1264</v>
      </c>
      <c r="O64" s="5" t="n">
        <v>1</v>
      </c>
      <c r="P64" s="5" t="s">
        <v>1284</v>
      </c>
      <c r="Q64" s="5" t="s">
        <v>1552</v>
      </c>
    </row>
    <row r="65" customFormat="false" ht="256.7" hidden="false" customHeight="false" outlineLevel="0" collapsed="false">
      <c r="A65" s="5" t="s">
        <v>1553</v>
      </c>
      <c r="B65" s="5" t="s">
        <v>1280</v>
      </c>
      <c r="C65" s="5" t="n">
        <v>1</v>
      </c>
      <c r="D65" s="5" t="s">
        <v>1554</v>
      </c>
      <c r="E65" s="5" t="s">
        <v>1555</v>
      </c>
      <c r="F65" s="5" t="n">
        <v>2024</v>
      </c>
      <c r="G65" s="5" t="s">
        <v>385</v>
      </c>
      <c r="H65" s="5" t="s">
        <v>1545</v>
      </c>
      <c r="I65" s="5" t="s">
        <v>1556</v>
      </c>
      <c r="J65" s="5" t="s">
        <v>218</v>
      </c>
      <c r="K65" s="5" t="s">
        <v>218</v>
      </c>
      <c r="L65" s="5" t="s">
        <v>1263</v>
      </c>
      <c r="M65" s="5" t="s">
        <v>397</v>
      </c>
      <c r="N65" s="5" t="s">
        <v>1264</v>
      </c>
      <c r="O65" s="5" t="n">
        <v>1</v>
      </c>
      <c r="P65" s="5" t="s">
        <v>1284</v>
      </c>
      <c r="Q65" s="5" t="s">
        <v>1557</v>
      </c>
    </row>
    <row r="66" customFormat="false" ht="176.1" hidden="false" customHeight="false" outlineLevel="0" collapsed="false">
      <c r="A66" s="5" t="s">
        <v>1558</v>
      </c>
      <c r="B66" s="5" t="s">
        <v>1259</v>
      </c>
      <c r="C66" s="5" t="n">
        <v>1</v>
      </c>
      <c r="D66" s="5" t="s">
        <v>1559</v>
      </c>
      <c r="E66" s="5" t="s">
        <v>1560</v>
      </c>
      <c r="F66" s="5" t="n">
        <v>2022</v>
      </c>
      <c r="G66" s="5" t="s">
        <v>385</v>
      </c>
      <c r="H66" s="5" t="s">
        <v>1561</v>
      </c>
      <c r="I66" s="5" t="s">
        <v>1562</v>
      </c>
      <c r="J66" s="5" t="s">
        <v>218</v>
      </c>
      <c r="K66" s="5" t="s">
        <v>218</v>
      </c>
      <c r="L66" s="5" t="s">
        <v>1263</v>
      </c>
      <c r="M66" s="5" t="s">
        <v>397</v>
      </c>
      <c r="N66" s="5" t="s">
        <v>1264</v>
      </c>
      <c r="O66" s="5" t="n">
        <v>1</v>
      </c>
      <c r="P66" s="5" t="s">
        <v>1265</v>
      </c>
      <c r="Q66" s="5" t="s">
        <v>1563</v>
      </c>
    </row>
    <row r="67" customFormat="false" ht="202.95" hidden="false" customHeight="false" outlineLevel="0" collapsed="false">
      <c r="A67" s="5" t="s">
        <v>1564</v>
      </c>
      <c r="B67" s="5" t="s">
        <v>1268</v>
      </c>
      <c r="C67" s="5" t="n">
        <v>2</v>
      </c>
      <c r="D67" s="5" t="s">
        <v>1565</v>
      </c>
      <c r="E67" s="5" t="s">
        <v>1566</v>
      </c>
      <c r="F67" s="5" t="n">
        <v>2026</v>
      </c>
      <c r="G67" s="5" t="s">
        <v>385</v>
      </c>
      <c r="H67" s="5" t="s">
        <v>459</v>
      </c>
      <c r="I67" s="5" t="s">
        <v>1567</v>
      </c>
      <c r="J67" s="5" t="s">
        <v>218</v>
      </c>
      <c r="K67" s="5" t="s">
        <v>218</v>
      </c>
      <c r="L67" s="5" t="s">
        <v>1263</v>
      </c>
      <c r="M67" s="5" t="s">
        <v>397</v>
      </c>
      <c r="N67" s="5" t="s">
        <v>1264</v>
      </c>
      <c r="O67" s="5" t="n">
        <v>2</v>
      </c>
      <c r="P67" s="5" t="s">
        <v>1272</v>
      </c>
      <c r="Q67" s="5" t="s">
        <v>1568</v>
      </c>
    </row>
    <row r="68" customFormat="false" ht="270.1" hidden="false" customHeight="false" outlineLevel="0" collapsed="false">
      <c r="A68" s="5" t="s">
        <v>1569</v>
      </c>
      <c r="B68" s="5" t="s">
        <v>1259</v>
      </c>
      <c r="C68" s="5" t="n">
        <v>1</v>
      </c>
      <c r="D68" s="5" t="s">
        <v>1570</v>
      </c>
      <c r="E68" s="5" t="s">
        <v>1571</v>
      </c>
      <c r="F68" s="5" t="n">
        <v>2025</v>
      </c>
      <c r="G68" s="5" t="s">
        <v>385</v>
      </c>
      <c r="H68" s="5" t="s">
        <v>233</v>
      </c>
      <c r="I68" s="5" t="s">
        <v>1572</v>
      </c>
      <c r="J68" s="5" t="s">
        <v>218</v>
      </c>
      <c r="K68" s="5" t="s">
        <v>218</v>
      </c>
      <c r="L68" s="5" t="s">
        <v>1263</v>
      </c>
      <c r="M68" s="5" t="s">
        <v>397</v>
      </c>
      <c r="N68" s="5" t="s">
        <v>1264</v>
      </c>
      <c r="O68" s="5" t="n">
        <v>1</v>
      </c>
      <c r="P68" s="5" t="s">
        <v>1265</v>
      </c>
      <c r="Q68" s="5" t="s">
        <v>1573</v>
      </c>
    </row>
    <row r="69" customFormat="false" ht="229.85" hidden="false" customHeight="false" outlineLevel="0" collapsed="false">
      <c r="A69" s="5" t="s">
        <v>1574</v>
      </c>
      <c r="B69" s="5" t="s">
        <v>1259</v>
      </c>
      <c r="C69" s="5" t="n">
        <v>1</v>
      </c>
      <c r="D69" s="5" t="s">
        <v>1575</v>
      </c>
      <c r="E69" s="5" t="s">
        <v>1576</v>
      </c>
      <c r="F69" s="5" t="n">
        <v>2026</v>
      </c>
      <c r="G69" s="5" t="s">
        <v>385</v>
      </c>
      <c r="H69" s="5" t="s">
        <v>523</v>
      </c>
      <c r="I69" s="5" t="s">
        <v>1577</v>
      </c>
      <c r="J69" s="5" t="s">
        <v>218</v>
      </c>
      <c r="K69" s="5" t="s">
        <v>218</v>
      </c>
      <c r="L69" s="5" t="s">
        <v>1263</v>
      </c>
      <c r="M69" s="5" t="s">
        <v>397</v>
      </c>
      <c r="N69" s="5" t="s">
        <v>1264</v>
      </c>
      <c r="O69" s="5" t="n">
        <v>1</v>
      </c>
      <c r="P69" s="5" t="s">
        <v>1265</v>
      </c>
      <c r="Q69" s="5" t="s">
        <v>1578</v>
      </c>
    </row>
    <row r="70" customFormat="false" ht="243.25" hidden="false" customHeight="false" outlineLevel="0" collapsed="false">
      <c r="A70" s="5" t="s">
        <v>1579</v>
      </c>
      <c r="B70" s="5" t="s">
        <v>1259</v>
      </c>
      <c r="C70" s="5" t="n">
        <v>1</v>
      </c>
      <c r="D70" s="5" t="s">
        <v>274</v>
      </c>
      <c r="E70" s="5" t="s">
        <v>1580</v>
      </c>
      <c r="F70" s="5" t="n">
        <v>2025</v>
      </c>
      <c r="G70" s="5" t="s">
        <v>385</v>
      </c>
      <c r="H70" s="5" t="s">
        <v>459</v>
      </c>
      <c r="I70" s="5" t="s">
        <v>277</v>
      </c>
      <c r="J70" s="5" t="s">
        <v>194</v>
      </c>
      <c r="K70" s="5" t="s">
        <v>1305</v>
      </c>
      <c r="L70" s="5" t="s">
        <v>1306</v>
      </c>
      <c r="M70" s="5" t="s">
        <v>1307</v>
      </c>
      <c r="N70" s="5" t="s">
        <v>1308</v>
      </c>
      <c r="O70" s="5" t="n">
        <v>1</v>
      </c>
      <c r="P70" s="5" t="s">
        <v>1265</v>
      </c>
      <c r="Q70" s="5" t="s">
        <v>989</v>
      </c>
    </row>
    <row r="71" customFormat="false" ht="270.1" hidden="false" customHeight="false" outlineLevel="0" collapsed="false">
      <c r="A71" s="5" t="s">
        <v>1581</v>
      </c>
      <c r="B71" s="5" t="s">
        <v>1259</v>
      </c>
      <c r="C71" s="5" t="n">
        <v>1</v>
      </c>
      <c r="D71" s="5" t="s">
        <v>1582</v>
      </c>
      <c r="E71" s="5" t="s">
        <v>1583</v>
      </c>
      <c r="F71" s="5" t="n">
        <v>2026</v>
      </c>
      <c r="G71" s="5" t="s">
        <v>385</v>
      </c>
      <c r="H71" s="5" t="s">
        <v>233</v>
      </c>
      <c r="I71" s="5" t="s">
        <v>1584</v>
      </c>
      <c r="J71" s="5" t="s">
        <v>218</v>
      </c>
      <c r="K71" s="5" t="s">
        <v>218</v>
      </c>
      <c r="L71" s="5" t="s">
        <v>1263</v>
      </c>
      <c r="M71" s="5" t="s">
        <v>1585</v>
      </c>
      <c r="N71" s="5" t="s">
        <v>1586</v>
      </c>
      <c r="O71" s="5" t="n">
        <v>1</v>
      </c>
      <c r="P71" s="5" t="s">
        <v>1265</v>
      </c>
      <c r="Q71" s="5" t="s">
        <v>1587</v>
      </c>
    </row>
    <row r="72" customFormat="false" ht="256.7" hidden="false" customHeight="false" outlineLevel="0" collapsed="false">
      <c r="A72" s="5" t="s">
        <v>1588</v>
      </c>
      <c r="B72" s="5" t="s">
        <v>1259</v>
      </c>
      <c r="C72" s="5" t="n">
        <v>1</v>
      </c>
      <c r="D72" s="5" t="s">
        <v>1589</v>
      </c>
      <c r="E72" s="5" t="s">
        <v>1590</v>
      </c>
      <c r="F72" s="5" t="n">
        <v>2025</v>
      </c>
      <c r="G72" s="5" t="s">
        <v>385</v>
      </c>
      <c r="H72" s="5" t="s">
        <v>233</v>
      </c>
      <c r="I72" s="5" t="s">
        <v>1591</v>
      </c>
      <c r="J72" s="5" t="s">
        <v>218</v>
      </c>
      <c r="K72" s="5" t="s">
        <v>218</v>
      </c>
      <c r="L72" s="5" t="s">
        <v>1263</v>
      </c>
      <c r="M72" s="5" t="s">
        <v>397</v>
      </c>
      <c r="N72" s="5" t="s">
        <v>1264</v>
      </c>
      <c r="O72" s="5" t="n">
        <v>1</v>
      </c>
      <c r="P72" s="5" t="s">
        <v>1265</v>
      </c>
      <c r="Q72" s="5" t="s">
        <v>1592</v>
      </c>
    </row>
    <row r="73" customFormat="false" ht="108.95" hidden="false" customHeight="false" outlineLevel="0" collapsed="false">
      <c r="A73" s="5" t="s">
        <v>1593</v>
      </c>
      <c r="B73" s="5" t="s">
        <v>1287</v>
      </c>
      <c r="C73" s="5" t="n">
        <v>1</v>
      </c>
      <c r="D73" s="5" t="s">
        <v>1594</v>
      </c>
      <c r="E73" s="5" t="s">
        <v>1595</v>
      </c>
      <c r="F73" s="5" t="n">
        <v>2022</v>
      </c>
      <c r="G73" s="5" t="s">
        <v>1290</v>
      </c>
      <c r="H73" s="5" t="s">
        <v>1596</v>
      </c>
      <c r="I73" s="5" t="s">
        <v>1597</v>
      </c>
      <c r="J73" s="5" t="s">
        <v>218</v>
      </c>
      <c r="K73" s="5" t="s">
        <v>218</v>
      </c>
      <c r="L73" s="5" t="s">
        <v>1263</v>
      </c>
      <c r="M73" s="5" t="s">
        <v>1293</v>
      </c>
      <c r="N73" s="5"/>
      <c r="O73" s="5" t="n">
        <v>1</v>
      </c>
      <c r="P73" s="5" t="s">
        <v>1294</v>
      </c>
      <c r="Q73" s="5" t="s">
        <v>1598</v>
      </c>
    </row>
    <row r="74" customFormat="false" ht="189.55" hidden="false" customHeight="false" outlineLevel="0" collapsed="false">
      <c r="A74" s="5" t="s">
        <v>1599</v>
      </c>
      <c r="B74" s="5" t="s">
        <v>1280</v>
      </c>
      <c r="C74" s="5" t="n">
        <v>1</v>
      </c>
      <c r="D74" s="5" t="s">
        <v>1600</v>
      </c>
      <c r="E74" s="5" t="s">
        <v>1601</v>
      </c>
      <c r="F74" s="5" t="n">
        <v>2025</v>
      </c>
      <c r="G74" s="5" t="s">
        <v>385</v>
      </c>
      <c r="H74" s="5" t="s">
        <v>453</v>
      </c>
      <c r="I74" s="5" t="s">
        <v>1602</v>
      </c>
      <c r="J74" s="5" t="s">
        <v>218</v>
      </c>
      <c r="K74" s="5" t="s">
        <v>218</v>
      </c>
      <c r="L74" s="5" t="s">
        <v>1263</v>
      </c>
      <c r="M74" s="5" t="s">
        <v>397</v>
      </c>
      <c r="N74" s="5" t="s">
        <v>1264</v>
      </c>
      <c r="O74" s="5" t="n">
        <v>1</v>
      </c>
      <c r="P74" s="5" t="s">
        <v>1284</v>
      </c>
      <c r="Q74" s="5" t="s">
        <v>1603</v>
      </c>
    </row>
    <row r="75" customFormat="false" ht="229.85" hidden="false" customHeight="false" outlineLevel="0" collapsed="false">
      <c r="A75" s="5" t="s">
        <v>1604</v>
      </c>
      <c r="B75" s="5" t="s">
        <v>1259</v>
      </c>
      <c r="C75" s="5" t="n">
        <v>1</v>
      </c>
      <c r="D75" s="5" t="s">
        <v>1605</v>
      </c>
      <c r="E75" s="5" t="s">
        <v>1606</v>
      </c>
      <c r="F75" s="5" t="n">
        <v>2024</v>
      </c>
      <c r="G75" s="5" t="s">
        <v>385</v>
      </c>
      <c r="H75" s="5" t="s">
        <v>1607</v>
      </c>
      <c r="I75" s="5" t="s">
        <v>1608</v>
      </c>
      <c r="J75" s="5" t="s">
        <v>218</v>
      </c>
      <c r="K75" s="5" t="s">
        <v>218</v>
      </c>
      <c r="L75" s="5" t="s">
        <v>1263</v>
      </c>
      <c r="M75" s="5" t="s">
        <v>397</v>
      </c>
      <c r="N75" s="5" t="s">
        <v>1264</v>
      </c>
      <c r="O75" s="5" t="n">
        <v>1</v>
      </c>
      <c r="P75" s="5" t="s">
        <v>1265</v>
      </c>
      <c r="Q75" s="5" t="s">
        <v>1609</v>
      </c>
    </row>
    <row r="76" customFormat="false" ht="189.55" hidden="false" customHeight="false" outlineLevel="0" collapsed="false">
      <c r="A76" s="5" t="s">
        <v>1610</v>
      </c>
      <c r="B76" s="5" t="s">
        <v>1303</v>
      </c>
      <c r="C76" s="5" t="n">
        <v>2</v>
      </c>
      <c r="D76" s="5" t="s">
        <v>1611</v>
      </c>
      <c r="E76" s="5" t="s">
        <v>1612</v>
      </c>
      <c r="F76" s="5" t="n">
        <v>2026</v>
      </c>
      <c r="G76" s="5" t="s">
        <v>385</v>
      </c>
      <c r="H76" s="5" t="s">
        <v>254</v>
      </c>
      <c r="I76" s="5" t="s">
        <v>1613</v>
      </c>
      <c r="J76" s="5" t="s">
        <v>218</v>
      </c>
      <c r="K76" s="5" t="s">
        <v>218</v>
      </c>
      <c r="L76" s="5" t="s">
        <v>1263</v>
      </c>
      <c r="M76" s="5" t="s">
        <v>397</v>
      </c>
      <c r="N76" s="5" t="s">
        <v>1264</v>
      </c>
      <c r="O76" s="5" t="n">
        <v>2</v>
      </c>
      <c r="P76" s="5" t="s">
        <v>1309</v>
      </c>
      <c r="Q76" s="5" t="s">
        <v>1614</v>
      </c>
    </row>
    <row r="77" customFormat="false" ht="256.7" hidden="false" customHeight="false" outlineLevel="0" collapsed="false">
      <c r="A77" s="5" t="s">
        <v>1615</v>
      </c>
      <c r="B77" s="5" t="s">
        <v>1303</v>
      </c>
      <c r="C77" s="5" t="n">
        <v>2</v>
      </c>
      <c r="D77" s="5" t="s">
        <v>1073</v>
      </c>
      <c r="E77" s="5" t="s">
        <v>1616</v>
      </c>
      <c r="F77" s="5" t="n">
        <v>2019</v>
      </c>
      <c r="G77" s="5" t="s">
        <v>385</v>
      </c>
      <c r="H77" s="5" t="s">
        <v>1404</v>
      </c>
      <c r="I77" s="5" t="s">
        <v>1075</v>
      </c>
      <c r="J77" s="5" t="s">
        <v>194</v>
      </c>
      <c r="K77" s="5" t="s">
        <v>1305</v>
      </c>
      <c r="L77" s="5" t="s">
        <v>1306</v>
      </c>
      <c r="M77" s="5" t="s">
        <v>1307</v>
      </c>
      <c r="N77" s="5" t="s">
        <v>1308</v>
      </c>
      <c r="O77" s="5" t="n">
        <v>2</v>
      </c>
      <c r="P77" s="5" t="s">
        <v>1309</v>
      </c>
      <c r="Q77" s="5" t="s">
        <v>1076</v>
      </c>
    </row>
    <row r="78" customFormat="false" ht="229.85" hidden="false" customHeight="false" outlineLevel="0" collapsed="false">
      <c r="A78" s="5" t="s">
        <v>1617</v>
      </c>
      <c r="B78" s="5" t="s">
        <v>1259</v>
      </c>
      <c r="C78" s="5" t="n">
        <v>1</v>
      </c>
      <c r="D78" s="5" t="s">
        <v>283</v>
      </c>
      <c r="E78" s="5" t="s">
        <v>1618</v>
      </c>
      <c r="F78" s="5" t="n">
        <v>2025</v>
      </c>
      <c r="G78" s="5" t="s">
        <v>385</v>
      </c>
      <c r="H78" s="5" t="s">
        <v>233</v>
      </c>
      <c r="I78" s="5" t="s">
        <v>285</v>
      </c>
      <c r="J78" s="5" t="s">
        <v>218</v>
      </c>
      <c r="K78" s="5" t="s">
        <v>194</v>
      </c>
      <c r="L78" s="5" t="s">
        <v>1341</v>
      </c>
      <c r="M78" s="5" t="s">
        <v>1619</v>
      </c>
      <c r="N78" s="5" t="s">
        <v>1620</v>
      </c>
      <c r="O78" s="5" t="n">
        <v>1</v>
      </c>
      <c r="P78" s="5" t="s">
        <v>1265</v>
      </c>
      <c r="Q78" s="5" t="s">
        <v>1621</v>
      </c>
    </row>
    <row r="79" customFormat="false" ht="149.25" hidden="false" customHeight="false" outlineLevel="0" collapsed="false">
      <c r="A79" s="5" t="s">
        <v>1622</v>
      </c>
      <c r="B79" s="5" t="s">
        <v>1259</v>
      </c>
      <c r="C79" s="5" t="n">
        <v>1</v>
      </c>
      <c r="D79" s="5" t="s">
        <v>1623</v>
      </c>
      <c r="E79" s="5" t="s">
        <v>1624</v>
      </c>
      <c r="F79" s="5" t="n">
        <v>2023</v>
      </c>
      <c r="G79" s="5" t="s">
        <v>385</v>
      </c>
      <c r="H79" s="5" t="s">
        <v>1404</v>
      </c>
      <c r="I79" s="5" t="s">
        <v>1625</v>
      </c>
      <c r="J79" s="5" t="s">
        <v>218</v>
      </c>
      <c r="K79" s="5" t="s">
        <v>218</v>
      </c>
      <c r="L79" s="5" t="s">
        <v>1263</v>
      </c>
      <c r="M79" s="5" t="s">
        <v>389</v>
      </c>
      <c r="N79" s="5" t="s">
        <v>1264</v>
      </c>
      <c r="O79" s="5" t="n">
        <v>1</v>
      </c>
      <c r="P79" s="5" t="s">
        <v>1265</v>
      </c>
      <c r="Q79" s="5" t="s">
        <v>1626</v>
      </c>
    </row>
    <row r="80" customFormat="false" ht="189.55" hidden="false" customHeight="false" outlineLevel="0" collapsed="false">
      <c r="A80" s="5" t="s">
        <v>1627</v>
      </c>
      <c r="B80" s="5" t="s">
        <v>1259</v>
      </c>
      <c r="C80" s="5" t="n">
        <v>1</v>
      </c>
      <c r="D80" s="5" t="s">
        <v>1123</v>
      </c>
      <c r="E80" s="5" t="s">
        <v>1628</v>
      </c>
      <c r="F80" s="5" t="n">
        <v>2020</v>
      </c>
      <c r="G80" s="5" t="s">
        <v>385</v>
      </c>
      <c r="H80" s="5" t="s">
        <v>703</v>
      </c>
      <c r="I80" s="5" t="s">
        <v>1125</v>
      </c>
      <c r="J80" s="5" t="s">
        <v>194</v>
      </c>
      <c r="K80" s="5" t="s">
        <v>1305</v>
      </c>
      <c r="L80" s="5" t="s">
        <v>1306</v>
      </c>
      <c r="M80" s="5" t="s">
        <v>1307</v>
      </c>
      <c r="N80" s="5" t="s">
        <v>1308</v>
      </c>
      <c r="O80" s="5" t="n">
        <v>1</v>
      </c>
      <c r="P80" s="5" t="s">
        <v>1265</v>
      </c>
      <c r="Q80" s="5" t="s">
        <v>1126</v>
      </c>
    </row>
    <row r="81" customFormat="false" ht="216.4" hidden="false" customHeight="false" outlineLevel="0" collapsed="false">
      <c r="A81" s="5" t="s">
        <v>1629</v>
      </c>
      <c r="B81" s="5" t="s">
        <v>1287</v>
      </c>
      <c r="C81" s="5" t="n">
        <v>1</v>
      </c>
      <c r="D81" s="5" t="s">
        <v>1152</v>
      </c>
      <c r="E81" s="5" t="s">
        <v>1153</v>
      </c>
      <c r="F81" s="5" t="n">
        <v>2024</v>
      </c>
      <c r="G81" s="5" t="s">
        <v>385</v>
      </c>
      <c r="H81" s="5" t="s">
        <v>228</v>
      </c>
      <c r="I81" s="5" t="s">
        <v>1154</v>
      </c>
      <c r="J81" s="5" t="s">
        <v>194</v>
      </c>
      <c r="K81" s="5" t="s">
        <v>1305</v>
      </c>
      <c r="L81" s="5" t="s">
        <v>1306</v>
      </c>
      <c r="M81" s="5" t="s">
        <v>1307</v>
      </c>
      <c r="N81" s="5" t="s">
        <v>1308</v>
      </c>
      <c r="O81" s="5" t="n">
        <v>1</v>
      </c>
      <c r="P81" s="5" t="s">
        <v>1294</v>
      </c>
      <c r="Q81" s="5" t="s">
        <v>1155</v>
      </c>
    </row>
    <row r="82" customFormat="false" ht="216.4" hidden="false" customHeight="false" outlineLevel="0" collapsed="false">
      <c r="A82" s="5" t="s">
        <v>1630</v>
      </c>
      <c r="B82" s="5" t="s">
        <v>1259</v>
      </c>
      <c r="C82" s="5" t="n">
        <v>1</v>
      </c>
      <c r="D82" s="5" t="s">
        <v>1631</v>
      </c>
      <c r="E82" s="5" t="s">
        <v>1632</v>
      </c>
      <c r="F82" s="5" t="n">
        <v>2024</v>
      </c>
      <c r="G82" s="5" t="s">
        <v>385</v>
      </c>
      <c r="H82" s="5" t="s">
        <v>1633</v>
      </c>
      <c r="I82" s="5" t="s">
        <v>1634</v>
      </c>
      <c r="J82" s="5" t="s">
        <v>218</v>
      </c>
      <c r="K82" s="5" t="s">
        <v>218</v>
      </c>
      <c r="L82" s="5" t="s">
        <v>1263</v>
      </c>
      <c r="M82" s="5" t="s">
        <v>397</v>
      </c>
      <c r="N82" s="5" t="s">
        <v>1264</v>
      </c>
      <c r="O82" s="5" t="n">
        <v>1</v>
      </c>
      <c r="P82" s="5" t="s">
        <v>1265</v>
      </c>
      <c r="Q82" s="5" t="s">
        <v>1635</v>
      </c>
    </row>
    <row r="83" customFormat="false" ht="189.55" hidden="false" customHeight="false" outlineLevel="0" collapsed="false">
      <c r="A83" s="5" t="s">
        <v>1636</v>
      </c>
      <c r="B83" s="5" t="s">
        <v>1303</v>
      </c>
      <c r="C83" s="5" t="n">
        <v>2</v>
      </c>
      <c r="D83" s="5" t="s">
        <v>1162</v>
      </c>
      <c r="E83" s="5" t="s">
        <v>1637</v>
      </c>
      <c r="F83" s="5" t="n">
        <v>2025</v>
      </c>
      <c r="G83" s="5" t="s">
        <v>385</v>
      </c>
      <c r="H83" s="5" t="s">
        <v>1638</v>
      </c>
      <c r="I83" s="5" t="s">
        <v>1164</v>
      </c>
      <c r="J83" s="5" t="s">
        <v>194</v>
      </c>
      <c r="K83" s="5" t="s">
        <v>1305</v>
      </c>
      <c r="L83" s="5" t="s">
        <v>1306</v>
      </c>
      <c r="M83" s="5" t="s">
        <v>1307</v>
      </c>
      <c r="N83" s="5" t="s">
        <v>1308</v>
      </c>
      <c r="O83" s="5" t="n">
        <v>2</v>
      </c>
      <c r="P83" s="5" t="s">
        <v>1309</v>
      </c>
      <c r="Q83" s="5" t="s">
        <v>1165</v>
      </c>
    </row>
    <row r="84" customFormat="false" ht="122.35" hidden="false" customHeight="false" outlineLevel="0" collapsed="false">
      <c r="A84" s="5" t="s">
        <v>1639</v>
      </c>
      <c r="B84" s="5" t="s">
        <v>1259</v>
      </c>
      <c r="C84" s="5" t="n">
        <v>1</v>
      </c>
      <c r="D84" s="5" t="s">
        <v>1640</v>
      </c>
      <c r="E84" s="5" t="s">
        <v>1641</v>
      </c>
      <c r="F84" s="5" t="n">
        <v>2018</v>
      </c>
      <c r="G84" s="5" t="s">
        <v>385</v>
      </c>
      <c r="H84" s="5" t="s">
        <v>748</v>
      </c>
      <c r="I84" s="5" t="s">
        <v>1169</v>
      </c>
      <c r="J84" s="5" t="s">
        <v>194</v>
      </c>
      <c r="K84" s="5" t="s">
        <v>1305</v>
      </c>
      <c r="L84" s="5" t="s">
        <v>1306</v>
      </c>
      <c r="M84" s="5" t="s">
        <v>1307</v>
      </c>
      <c r="N84" s="5" t="s">
        <v>1308</v>
      </c>
      <c r="O84" s="5" t="n">
        <v>1</v>
      </c>
      <c r="P84" s="5" t="s">
        <v>1265</v>
      </c>
      <c r="Q84" s="5" t="s">
        <v>1642</v>
      </c>
    </row>
    <row r="85" customFormat="false" ht="176.1" hidden="false" customHeight="false" outlineLevel="0" collapsed="false">
      <c r="A85" s="5" t="s">
        <v>1643</v>
      </c>
      <c r="B85" s="5" t="s">
        <v>1287</v>
      </c>
      <c r="C85" s="5" t="n">
        <v>1</v>
      </c>
      <c r="D85" s="5" t="s">
        <v>1644</v>
      </c>
      <c r="E85" s="5" t="s">
        <v>1645</v>
      </c>
      <c r="F85" s="5" t="n">
        <v>2024</v>
      </c>
      <c r="G85" s="5" t="s">
        <v>385</v>
      </c>
      <c r="H85" s="5" t="s">
        <v>228</v>
      </c>
      <c r="I85" s="5" t="s">
        <v>1646</v>
      </c>
      <c r="J85" s="5" t="s">
        <v>218</v>
      </c>
      <c r="K85" s="5" t="s">
        <v>218</v>
      </c>
      <c r="L85" s="5" t="s">
        <v>1263</v>
      </c>
      <c r="M85" s="5" t="s">
        <v>397</v>
      </c>
      <c r="N85" s="5" t="s">
        <v>1264</v>
      </c>
      <c r="O85" s="5" t="n">
        <v>1</v>
      </c>
      <c r="P85" s="5" t="s">
        <v>1294</v>
      </c>
      <c r="Q85" s="5" t="s">
        <v>1647</v>
      </c>
    </row>
    <row r="86" customFormat="false" ht="108.95" hidden="false" customHeight="false" outlineLevel="0" collapsed="false">
      <c r="A86" s="5" t="s">
        <v>1648</v>
      </c>
      <c r="B86" s="5" t="s">
        <v>1287</v>
      </c>
      <c r="C86" s="5" t="n">
        <v>1</v>
      </c>
      <c r="D86" s="5" t="s">
        <v>1649</v>
      </c>
      <c r="E86" s="5" t="s">
        <v>1650</v>
      </c>
      <c r="F86" s="5" t="n">
        <v>2025</v>
      </c>
      <c r="G86" s="5" t="s">
        <v>1290</v>
      </c>
      <c r="H86" s="5" t="s">
        <v>1651</v>
      </c>
      <c r="I86" s="5" t="s">
        <v>1652</v>
      </c>
      <c r="J86" s="5" t="s">
        <v>218</v>
      </c>
      <c r="K86" s="5" t="s">
        <v>218</v>
      </c>
      <c r="L86" s="5" t="s">
        <v>1263</v>
      </c>
      <c r="M86" s="5" t="s">
        <v>1293</v>
      </c>
      <c r="N86" s="5"/>
      <c r="O86" s="5" t="n">
        <v>1</v>
      </c>
      <c r="P86" s="5" t="s">
        <v>1294</v>
      </c>
      <c r="Q86" s="5" t="s">
        <v>1653</v>
      </c>
    </row>
    <row r="87" customFormat="false" ht="135.8" hidden="false" customHeight="false" outlineLevel="0" collapsed="false">
      <c r="A87" s="5" t="s">
        <v>1654</v>
      </c>
      <c r="B87" s="5" t="s">
        <v>1287</v>
      </c>
      <c r="C87" s="5" t="n">
        <v>1</v>
      </c>
      <c r="D87" s="5" t="s">
        <v>1655</v>
      </c>
      <c r="E87" s="5" t="s">
        <v>1656</v>
      </c>
      <c r="F87" s="5" t="n">
        <v>2024</v>
      </c>
      <c r="G87" s="5" t="s">
        <v>1290</v>
      </c>
      <c r="H87" s="5" t="s">
        <v>1657</v>
      </c>
      <c r="I87" s="5" t="s">
        <v>1658</v>
      </c>
      <c r="J87" s="5" t="s">
        <v>218</v>
      </c>
      <c r="K87" s="5" t="s">
        <v>218</v>
      </c>
      <c r="L87" s="5" t="s">
        <v>941</v>
      </c>
      <c r="M87" s="5" t="s">
        <v>1293</v>
      </c>
      <c r="N87" s="5" t="s">
        <v>1336</v>
      </c>
      <c r="O87" s="5" t="n">
        <v>1</v>
      </c>
      <c r="P87" s="5" t="s">
        <v>1294</v>
      </c>
      <c r="Q87" s="5" t="s">
        <v>1659</v>
      </c>
    </row>
    <row r="88" customFormat="false" ht="149.25" hidden="false" customHeight="false" outlineLevel="0" collapsed="false">
      <c r="A88" s="5" t="s">
        <v>1660</v>
      </c>
      <c r="B88" s="5" t="s">
        <v>1259</v>
      </c>
      <c r="C88" s="5" t="n">
        <v>1</v>
      </c>
      <c r="D88" s="5" t="s">
        <v>1661</v>
      </c>
      <c r="E88" s="5" t="s">
        <v>1662</v>
      </c>
      <c r="F88" s="5" t="n">
        <v>2025</v>
      </c>
      <c r="G88" s="5" t="s">
        <v>385</v>
      </c>
      <c r="H88" s="5" t="s">
        <v>1663</v>
      </c>
      <c r="I88" s="5" t="s">
        <v>1664</v>
      </c>
      <c r="J88" s="5" t="s">
        <v>218</v>
      </c>
      <c r="K88" s="5" t="s">
        <v>218</v>
      </c>
      <c r="L88" s="5" t="s">
        <v>1263</v>
      </c>
      <c r="M88" s="5" t="s">
        <v>389</v>
      </c>
      <c r="N88" s="5" t="s">
        <v>1264</v>
      </c>
      <c r="O88" s="5" t="n">
        <v>1</v>
      </c>
      <c r="P88" s="5" t="s">
        <v>1265</v>
      </c>
      <c r="Q88" s="5" t="s">
        <v>1665</v>
      </c>
    </row>
    <row r="89" customFormat="false" ht="229.85" hidden="false" customHeight="false" outlineLevel="0" collapsed="false">
      <c r="A89" s="5" t="s">
        <v>1666</v>
      </c>
      <c r="B89" s="5" t="s">
        <v>1259</v>
      </c>
      <c r="C89" s="5" t="n">
        <v>1</v>
      </c>
      <c r="D89" s="5" t="s">
        <v>1667</v>
      </c>
      <c r="E89" s="5" t="s">
        <v>1668</v>
      </c>
      <c r="F89" s="5" t="n">
        <v>2026</v>
      </c>
      <c r="G89" s="5" t="s">
        <v>385</v>
      </c>
      <c r="H89" s="5" t="s">
        <v>575</v>
      </c>
      <c r="I89" s="5" t="s">
        <v>1669</v>
      </c>
      <c r="J89" s="5" t="s">
        <v>218</v>
      </c>
      <c r="K89" s="5" t="s">
        <v>218</v>
      </c>
      <c r="L89" s="5" t="s">
        <v>1263</v>
      </c>
      <c r="M89" s="5" t="s">
        <v>397</v>
      </c>
      <c r="N89" s="5" t="s">
        <v>1264</v>
      </c>
      <c r="O89" s="5" t="n">
        <v>1</v>
      </c>
      <c r="P89" s="5" t="s">
        <v>1265</v>
      </c>
      <c r="Q89" s="5" t="s">
        <v>1670</v>
      </c>
    </row>
    <row r="90" customFormat="false" ht="15" hidden="false" customHeight="false" outlineLevel="0" collapsed="false">
      <c r="A90" s="0" t="s">
        <v>1671</v>
      </c>
      <c r="B90" s="0" t="s">
        <v>1303</v>
      </c>
      <c r="C90" s="0" t="n">
        <v>2</v>
      </c>
      <c r="D90" s="0" t="s">
        <v>1223</v>
      </c>
      <c r="E90" s="0" t="s">
        <v>1672</v>
      </c>
      <c r="F90" s="0" t="n">
        <v>2022</v>
      </c>
      <c r="G90" s="0" t="s">
        <v>385</v>
      </c>
      <c r="H90" s="0" t="s">
        <v>1225</v>
      </c>
      <c r="I90" s="0" t="s">
        <v>1226</v>
      </c>
      <c r="J90" s="0" t="s">
        <v>194</v>
      </c>
      <c r="K90" s="0" t="s">
        <v>1305</v>
      </c>
      <c r="L90" s="18" t="s">
        <v>1306</v>
      </c>
      <c r="M90" s="0" t="s">
        <v>1307</v>
      </c>
      <c r="N90" s="0" t="s">
        <v>1308</v>
      </c>
      <c r="O90" s="0" t="n">
        <v>2</v>
      </c>
      <c r="P90" s="0" t="s">
        <v>1309</v>
      </c>
      <c r="Q90" s="0" t="s">
        <v>1673</v>
      </c>
    </row>
  </sheetData>
  <mergeCells count="1">
    <mergeCell ref="A1:Q1"/>
  </mergeCells>
  <conditionalFormatting sqref="L4:L90">
    <cfRule type="containsText" priority="2" operator="containsText" aboveAverage="0" equalAverage="0" bottom="0" percent="0" rank="0" text="Already" dxfId="4">
      <formula>NOT(ISERROR(SEARCH("Already",L4)))</formula>
    </cfRule>
    <cfRule type="containsText" priority="3" operator="containsText" aboveAverage="0" equalAverage="0" bottom="0" percent="0" rank="0" text="Contextual" dxfId="7">
      <formula>NOT(ISERROR(SEARCH("Contextual",L4)))</formula>
    </cfRule>
    <cfRule type="containsText" priority="4" operator="containsText" aboveAverage="0" equalAverage="0" bottom="0" percent="0" rank="0" text="Excluded" dxfId="8">
      <formula>NOT(ISERROR(SEARCH("Excluded",L4)))</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4"/>
    <col collapsed="false" customWidth="true" hidden="false" outlineLevel="0" max="3" min="3" style="0" width="12"/>
    <col collapsed="false" customWidth="true" hidden="false" outlineLevel="0" max="4" min="4" style="0" width="60"/>
    <col collapsed="false" customWidth="true" hidden="false" outlineLevel="0" max="5" min="5" style="0" width="40"/>
    <col collapsed="false" customWidth="true" hidden="false" outlineLevel="0" max="7" min="6" style="0" width="7"/>
    <col collapsed="false" customWidth="true" hidden="false" outlineLevel="0" max="8" min="8" style="0" width="32"/>
    <col collapsed="false" customWidth="true" hidden="false" outlineLevel="0" max="9" min="9" style="0" width="30"/>
    <col collapsed="false" customWidth="true" hidden="false" outlineLevel="0" max="10" min="10" style="0" width="16"/>
    <col collapsed="false" customWidth="true" hidden="false" outlineLevel="0" max="11" min="11" style="0" width="17"/>
    <col collapsed="false" customWidth="true" hidden="false" outlineLevel="0" max="12" min="12" style="0" width="22"/>
    <col collapsed="false" customWidth="true" hidden="false" outlineLevel="0" max="14" min="13" style="0" width="46"/>
    <col collapsed="false" customWidth="true" hidden="false" outlineLevel="0" max="15" min="15" style="0" width="13"/>
    <col collapsed="false" customWidth="true" hidden="false" outlineLevel="0" max="16" min="16" style="0" width="34"/>
    <col collapsed="false" customWidth="true" hidden="false" outlineLevel="0" max="17" min="17" style="0" width="70"/>
  </cols>
  <sheetData>
    <row r="1" customFormat="false" ht="18.55" hidden="false" customHeight="false" outlineLevel="0" collapsed="false">
      <c r="A1" s="23" t="s">
        <v>1674</v>
      </c>
    </row>
    <row r="3" customFormat="false" ht="28.35" hidden="false" customHeight="false" outlineLevel="0" collapsed="false">
      <c r="A3" s="15" t="s">
        <v>1675</v>
      </c>
      <c r="B3" s="15" t="s">
        <v>373</v>
      </c>
      <c r="C3" s="15" t="s">
        <v>1252</v>
      </c>
      <c r="D3" s="15" t="s">
        <v>178</v>
      </c>
      <c r="E3" s="15" t="s">
        <v>179</v>
      </c>
      <c r="F3" s="15" t="s">
        <v>180</v>
      </c>
      <c r="G3" s="15" t="s">
        <v>375</v>
      </c>
      <c r="H3" s="15" t="s">
        <v>1253</v>
      </c>
      <c r="I3" s="15" t="s">
        <v>182</v>
      </c>
      <c r="J3" s="15" t="s">
        <v>1254</v>
      </c>
      <c r="K3" s="15" t="s">
        <v>1676</v>
      </c>
      <c r="L3" s="15" t="s">
        <v>1256</v>
      </c>
      <c r="M3" s="15" t="s">
        <v>1257</v>
      </c>
      <c r="N3" s="15" t="s">
        <v>67</v>
      </c>
      <c r="O3" s="15" t="s">
        <v>374</v>
      </c>
      <c r="P3" s="15" t="s">
        <v>380</v>
      </c>
      <c r="Q3" s="15" t="s">
        <v>381</v>
      </c>
    </row>
    <row r="4" customFormat="false" ht="270.1" hidden="false" customHeight="false" outlineLevel="0" collapsed="false">
      <c r="A4" s="21" t="s">
        <v>1677</v>
      </c>
      <c r="B4" s="21" t="s">
        <v>1259</v>
      </c>
      <c r="C4" s="21" t="n">
        <v>1</v>
      </c>
      <c r="D4" s="5" t="s">
        <v>1260</v>
      </c>
      <c r="E4" s="5" t="s">
        <v>1261</v>
      </c>
      <c r="F4" s="21" t="s">
        <v>355</v>
      </c>
      <c r="G4" s="21" t="s">
        <v>385</v>
      </c>
      <c r="H4" s="5" t="s">
        <v>233</v>
      </c>
      <c r="I4" s="21" t="s">
        <v>1262</v>
      </c>
      <c r="J4" s="21" t="s">
        <v>218</v>
      </c>
      <c r="K4" s="21" t="s">
        <v>194</v>
      </c>
      <c r="L4" s="21" t="s">
        <v>1678</v>
      </c>
      <c r="M4" s="5"/>
      <c r="N4" s="5" t="s">
        <v>1679</v>
      </c>
      <c r="O4" s="21" t="n">
        <v>1</v>
      </c>
      <c r="P4" s="5" t="s">
        <v>1680</v>
      </c>
      <c r="Q4" s="5" t="s">
        <v>1266</v>
      </c>
    </row>
    <row r="5" customFormat="false" ht="216.4" hidden="false" customHeight="false" outlineLevel="0" collapsed="false">
      <c r="A5" s="21" t="s">
        <v>1681</v>
      </c>
      <c r="B5" s="21" t="s">
        <v>1287</v>
      </c>
      <c r="C5" s="21" t="n">
        <v>1</v>
      </c>
      <c r="D5" s="5" t="s">
        <v>413</v>
      </c>
      <c r="E5" s="5" t="s">
        <v>414</v>
      </c>
      <c r="F5" s="21" t="s">
        <v>355</v>
      </c>
      <c r="G5" s="21" t="s">
        <v>385</v>
      </c>
      <c r="H5" s="5" t="s">
        <v>228</v>
      </c>
      <c r="I5" s="21" t="s">
        <v>415</v>
      </c>
      <c r="J5" s="21" t="s">
        <v>194</v>
      </c>
      <c r="K5" s="21" t="s">
        <v>218</v>
      </c>
      <c r="L5" s="21" t="s">
        <v>1678</v>
      </c>
      <c r="M5" s="5"/>
      <c r="N5" s="5" t="s">
        <v>1682</v>
      </c>
      <c r="O5" s="21" t="n">
        <v>1</v>
      </c>
      <c r="P5" s="5" t="s">
        <v>1683</v>
      </c>
      <c r="Q5" s="5" t="s">
        <v>416</v>
      </c>
    </row>
    <row r="6" customFormat="false" ht="270.1" hidden="false" customHeight="false" outlineLevel="0" collapsed="false">
      <c r="A6" s="21" t="s">
        <v>1684</v>
      </c>
      <c r="B6" s="21" t="s">
        <v>1685</v>
      </c>
      <c r="C6" s="21" t="n">
        <v>2</v>
      </c>
      <c r="D6" s="5" t="s">
        <v>424</v>
      </c>
      <c r="E6" s="5" t="s">
        <v>425</v>
      </c>
      <c r="F6" s="21" t="s">
        <v>344</v>
      </c>
      <c r="G6" s="21" t="s">
        <v>385</v>
      </c>
      <c r="H6" s="5" t="s">
        <v>276</v>
      </c>
      <c r="I6" s="21" t="s">
        <v>426</v>
      </c>
      <c r="J6" s="21" t="s">
        <v>194</v>
      </c>
      <c r="K6" s="21" t="s">
        <v>194</v>
      </c>
      <c r="L6" s="21" t="s">
        <v>1678</v>
      </c>
      <c r="M6" s="5"/>
      <c r="N6" s="5" t="s">
        <v>1682</v>
      </c>
      <c r="O6" s="21" t="n">
        <v>2</v>
      </c>
      <c r="P6" s="5" t="s">
        <v>1686</v>
      </c>
      <c r="Q6" s="5" t="s">
        <v>430</v>
      </c>
    </row>
    <row r="7" customFormat="false" ht="243.25" hidden="false" customHeight="false" outlineLevel="0" collapsed="false">
      <c r="A7" s="21" t="s">
        <v>1687</v>
      </c>
      <c r="B7" s="21" t="s">
        <v>1259</v>
      </c>
      <c r="C7" s="21" t="n">
        <v>1</v>
      </c>
      <c r="D7" s="5" t="s">
        <v>1688</v>
      </c>
      <c r="E7" s="5" t="s">
        <v>1689</v>
      </c>
      <c r="F7" s="21" t="s">
        <v>355</v>
      </c>
      <c r="G7" s="21" t="s">
        <v>385</v>
      </c>
      <c r="H7" s="5" t="s">
        <v>233</v>
      </c>
      <c r="I7" s="21" t="s">
        <v>1690</v>
      </c>
      <c r="J7" s="21" t="s">
        <v>218</v>
      </c>
      <c r="K7" s="21" t="s">
        <v>218</v>
      </c>
      <c r="L7" s="21" t="s">
        <v>1263</v>
      </c>
      <c r="M7" s="5"/>
      <c r="N7" s="5" t="s">
        <v>1264</v>
      </c>
      <c r="O7" s="21" t="n">
        <v>1</v>
      </c>
      <c r="P7" s="5" t="s">
        <v>1680</v>
      </c>
      <c r="Q7" s="5" t="s">
        <v>1691</v>
      </c>
    </row>
    <row r="8" customFormat="false" ht="243.25" hidden="false" customHeight="false" outlineLevel="0" collapsed="false">
      <c r="A8" s="21" t="s">
        <v>1692</v>
      </c>
      <c r="B8" s="21" t="s">
        <v>1287</v>
      </c>
      <c r="C8" s="21" t="n">
        <v>1</v>
      </c>
      <c r="D8" s="5" t="s">
        <v>1693</v>
      </c>
      <c r="E8" s="5" t="s">
        <v>1694</v>
      </c>
      <c r="F8" s="21" t="s">
        <v>355</v>
      </c>
      <c r="G8" s="21" t="s">
        <v>385</v>
      </c>
      <c r="H8" s="5" t="s">
        <v>1695</v>
      </c>
      <c r="I8" s="21" t="s">
        <v>1696</v>
      </c>
      <c r="J8" s="21" t="s">
        <v>218</v>
      </c>
      <c r="K8" s="21" t="s">
        <v>218</v>
      </c>
      <c r="L8" s="21" t="s">
        <v>1263</v>
      </c>
      <c r="M8" s="5"/>
      <c r="N8" s="5" t="s">
        <v>1264</v>
      </c>
      <c r="O8" s="21" t="n">
        <v>1</v>
      </c>
      <c r="P8" s="5" t="s">
        <v>1683</v>
      </c>
      <c r="Q8" s="5" t="s">
        <v>1697</v>
      </c>
    </row>
    <row r="9" customFormat="false" ht="297" hidden="false" customHeight="false" outlineLevel="0" collapsed="false">
      <c r="A9" s="21" t="s">
        <v>1698</v>
      </c>
      <c r="B9" s="21" t="s">
        <v>1509</v>
      </c>
      <c r="C9" s="21" t="n">
        <v>1</v>
      </c>
      <c r="D9" s="5" t="s">
        <v>1699</v>
      </c>
      <c r="E9" s="5" t="s">
        <v>1700</v>
      </c>
      <c r="F9" s="21" t="s">
        <v>355</v>
      </c>
      <c r="G9" s="21" t="s">
        <v>385</v>
      </c>
      <c r="H9" s="5" t="s">
        <v>249</v>
      </c>
      <c r="I9" s="21" t="s">
        <v>1701</v>
      </c>
      <c r="J9" s="21" t="s">
        <v>218</v>
      </c>
      <c r="K9" s="21" t="s">
        <v>218</v>
      </c>
      <c r="L9" s="21" t="s">
        <v>1263</v>
      </c>
      <c r="M9" s="5"/>
      <c r="N9" s="5" t="s">
        <v>1264</v>
      </c>
      <c r="O9" s="21" t="n">
        <v>1</v>
      </c>
      <c r="P9" s="5" t="s">
        <v>1702</v>
      </c>
      <c r="Q9" s="5" t="s">
        <v>1703</v>
      </c>
    </row>
    <row r="10" customFormat="false" ht="310.4" hidden="false" customHeight="false" outlineLevel="0" collapsed="false">
      <c r="A10" s="21" t="s">
        <v>1704</v>
      </c>
      <c r="B10" s="21" t="s">
        <v>1268</v>
      </c>
      <c r="C10" s="21" t="n">
        <v>2</v>
      </c>
      <c r="D10" s="5" t="s">
        <v>1402</v>
      </c>
      <c r="E10" s="5" t="s">
        <v>1403</v>
      </c>
      <c r="F10" s="21" t="s">
        <v>355</v>
      </c>
      <c r="G10" s="21" t="s">
        <v>385</v>
      </c>
      <c r="H10" s="5" t="s">
        <v>1404</v>
      </c>
      <c r="I10" s="21" t="s">
        <v>1405</v>
      </c>
      <c r="J10" s="21" t="s">
        <v>218</v>
      </c>
      <c r="K10" s="21" t="s">
        <v>194</v>
      </c>
      <c r="L10" s="21" t="s">
        <v>1678</v>
      </c>
      <c r="M10" s="5"/>
      <c r="N10" s="5" t="s">
        <v>1679</v>
      </c>
      <c r="O10" s="21" t="n">
        <v>2</v>
      </c>
      <c r="P10" s="5" t="s">
        <v>1705</v>
      </c>
      <c r="Q10" s="5" t="s">
        <v>1406</v>
      </c>
    </row>
    <row r="11" customFormat="false" ht="431.3" hidden="false" customHeight="false" outlineLevel="0" collapsed="false">
      <c r="A11" s="21" t="s">
        <v>1706</v>
      </c>
      <c r="B11" s="21" t="s">
        <v>1268</v>
      </c>
      <c r="C11" s="21" t="n">
        <v>2</v>
      </c>
      <c r="D11" s="5" t="s">
        <v>1707</v>
      </c>
      <c r="E11" s="5" t="s">
        <v>1708</v>
      </c>
      <c r="F11" s="21" t="s">
        <v>355</v>
      </c>
      <c r="G11" s="21" t="s">
        <v>385</v>
      </c>
      <c r="H11" s="5" t="s">
        <v>1445</v>
      </c>
      <c r="I11" s="21" t="s">
        <v>1709</v>
      </c>
      <c r="J11" s="21" t="s">
        <v>218</v>
      </c>
      <c r="K11" s="21" t="s">
        <v>218</v>
      </c>
      <c r="L11" s="21" t="s">
        <v>1263</v>
      </c>
      <c r="M11" s="5"/>
      <c r="N11" s="5" t="s">
        <v>1264</v>
      </c>
      <c r="O11" s="21" t="n">
        <v>2</v>
      </c>
      <c r="P11" s="5" t="s">
        <v>1705</v>
      </c>
      <c r="Q11" s="5" t="s">
        <v>1710</v>
      </c>
    </row>
    <row r="12" customFormat="false" ht="444.75" hidden="false" customHeight="false" outlineLevel="0" collapsed="false">
      <c r="A12" s="21" t="s">
        <v>1711</v>
      </c>
      <c r="B12" s="21" t="s">
        <v>1259</v>
      </c>
      <c r="C12" s="21" t="n">
        <v>1</v>
      </c>
      <c r="D12" s="5" t="s">
        <v>1712</v>
      </c>
      <c r="E12" s="5" t="s">
        <v>1713</v>
      </c>
      <c r="F12" s="21" t="s">
        <v>355</v>
      </c>
      <c r="G12" s="21" t="s">
        <v>385</v>
      </c>
      <c r="H12" s="5" t="s">
        <v>575</v>
      </c>
      <c r="I12" s="21" t="s">
        <v>1714</v>
      </c>
      <c r="J12" s="21" t="s">
        <v>218</v>
      </c>
      <c r="K12" s="21" t="s">
        <v>218</v>
      </c>
      <c r="L12" s="21" t="s">
        <v>1263</v>
      </c>
      <c r="M12" s="5"/>
      <c r="N12" s="5" t="s">
        <v>1264</v>
      </c>
      <c r="O12" s="21" t="n">
        <v>1</v>
      </c>
      <c r="P12" s="5" t="s">
        <v>1680</v>
      </c>
      <c r="Q12" s="5" t="s">
        <v>1715</v>
      </c>
    </row>
    <row r="13" customFormat="false" ht="310.4" hidden="false" customHeight="false" outlineLevel="0" collapsed="false">
      <c r="A13" s="21" t="s">
        <v>1716</v>
      </c>
      <c r="B13" s="21" t="s">
        <v>1685</v>
      </c>
      <c r="C13" s="21" t="n">
        <v>2</v>
      </c>
      <c r="D13" s="5" t="s">
        <v>1717</v>
      </c>
      <c r="E13" s="5" t="s">
        <v>1718</v>
      </c>
      <c r="F13" s="21" t="s">
        <v>355</v>
      </c>
      <c r="G13" s="21" t="s">
        <v>385</v>
      </c>
      <c r="H13" s="5" t="s">
        <v>1719</v>
      </c>
      <c r="I13" s="21" t="s">
        <v>1720</v>
      </c>
      <c r="J13" s="21" t="s">
        <v>218</v>
      </c>
      <c r="K13" s="21" t="s">
        <v>218</v>
      </c>
      <c r="L13" s="21" t="s">
        <v>1263</v>
      </c>
      <c r="M13" s="5"/>
      <c r="N13" s="5" t="s">
        <v>1264</v>
      </c>
      <c r="O13" s="21" t="n">
        <v>2</v>
      </c>
      <c r="P13" s="5" t="s">
        <v>1686</v>
      </c>
      <c r="Q13" s="5" t="s">
        <v>1721</v>
      </c>
    </row>
    <row r="14" customFormat="false" ht="256.7" hidden="false" customHeight="false" outlineLevel="0" collapsed="false">
      <c r="A14" s="21" t="s">
        <v>1722</v>
      </c>
      <c r="B14" s="21" t="s">
        <v>1287</v>
      </c>
      <c r="C14" s="21" t="n">
        <v>1</v>
      </c>
      <c r="D14" s="5" t="s">
        <v>1723</v>
      </c>
      <c r="E14" s="5" t="s">
        <v>1724</v>
      </c>
      <c r="F14" s="21" t="s">
        <v>344</v>
      </c>
      <c r="G14" s="21" t="s">
        <v>385</v>
      </c>
      <c r="H14" s="5" t="s">
        <v>1695</v>
      </c>
      <c r="I14" s="21" t="s">
        <v>1725</v>
      </c>
      <c r="J14" s="21" t="s">
        <v>218</v>
      </c>
      <c r="K14" s="21" t="s">
        <v>218</v>
      </c>
      <c r="L14" s="21" t="s">
        <v>1263</v>
      </c>
      <c r="M14" s="5"/>
      <c r="N14" s="5" t="s">
        <v>1264</v>
      </c>
      <c r="O14" s="21" t="n">
        <v>1</v>
      </c>
      <c r="P14" s="5" t="s">
        <v>1683</v>
      </c>
      <c r="Q14" s="5" t="s">
        <v>1726</v>
      </c>
    </row>
    <row r="15" customFormat="false" ht="444.75" hidden="false" customHeight="false" outlineLevel="0" collapsed="false">
      <c r="A15" s="21" t="s">
        <v>1727</v>
      </c>
      <c r="B15" s="21" t="s">
        <v>1303</v>
      </c>
      <c r="C15" s="21" t="n">
        <v>2</v>
      </c>
      <c r="D15" s="5" t="s">
        <v>1728</v>
      </c>
      <c r="E15" s="5" t="s">
        <v>1729</v>
      </c>
      <c r="F15" s="21" t="s">
        <v>355</v>
      </c>
      <c r="G15" s="21" t="s">
        <v>385</v>
      </c>
      <c r="H15" s="5" t="s">
        <v>459</v>
      </c>
      <c r="I15" s="21" t="s">
        <v>1730</v>
      </c>
      <c r="J15" s="21" t="s">
        <v>218</v>
      </c>
      <c r="K15" s="21" t="s">
        <v>218</v>
      </c>
      <c r="L15" s="21" t="s">
        <v>1263</v>
      </c>
      <c r="M15" s="5"/>
      <c r="N15" s="5" t="s">
        <v>1264</v>
      </c>
      <c r="O15" s="21" t="n">
        <v>2</v>
      </c>
      <c r="P15" s="5" t="s">
        <v>1731</v>
      </c>
      <c r="Q15" s="5" t="s">
        <v>1732</v>
      </c>
    </row>
    <row r="16" customFormat="false" ht="216.4" hidden="false" customHeight="false" outlineLevel="0" collapsed="false">
      <c r="A16" s="21" t="s">
        <v>1733</v>
      </c>
      <c r="B16" s="21" t="s">
        <v>1685</v>
      </c>
      <c r="C16" s="21" t="n">
        <v>2</v>
      </c>
      <c r="D16" s="5" t="s">
        <v>1734</v>
      </c>
      <c r="E16" s="5" t="s">
        <v>1735</v>
      </c>
      <c r="F16" s="21" t="s">
        <v>355</v>
      </c>
      <c r="G16" s="21" t="s">
        <v>385</v>
      </c>
      <c r="H16" s="5" t="s">
        <v>732</v>
      </c>
      <c r="I16" s="21" t="s">
        <v>1736</v>
      </c>
      <c r="J16" s="21" t="s">
        <v>218</v>
      </c>
      <c r="K16" s="21" t="s">
        <v>218</v>
      </c>
      <c r="L16" s="21" t="s">
        <v>1263</v>
      </c>
      <c r="M16" s="5" t="s">
        <v>1737</v>
      </c>
      <c r="N16" s="5" t="s">
        <v>1738</v>
      </c>
      <c r="O16" s="21" t="n">
        <v>2</v>
      </c>
      <c r="P16" s="5" t="s">
        <v>1686</v>
      </c>
      <c r="Q16" s="5" t="s">
        <v>1739</v>
      </c>
    </row>
    <row r="17" customFormat="false" ht="283.55" hidden="false" customHeight="false" outlineLevel="0" collapsed="false">
      <c r="A17" s="21" t="s">
        <v>1740</v>
      </c>
      <c r="B17" s="21" t="s">
        <v>1259</v>
      </c>
      <c r="C17" s="21" t="n">
        <v>1</v>
      </c>
      <c r="D17" s="5" t="s">
        <v>1741</v>
      </c>
      <c r="E17" s="5" t="s">
        <v>1742</v>
      </c>
      <c r="F17" s="21" t="s">
        <v>355</v>
      </c>
      <c r="G17" s="21" t="s">
        <v>385</v>
      </c>
      <c r="H17" s="5" t="s">
        <v>233</v>
      </c>
      <c r="I17" s="21" t="s">
        <v>1743</v>
      </c>
      <c r="J17" s="21" t="s">
        <v>218</v>
      </c>
      <c r="K17" s="21" t="s">
        <v>218</v>
      </c>
      <c r="L17" s="21" t="s">
        <v>1263</v>
      </c>
      <c r="M17" s="5"/>
      <c r="N17" s="5" t="s">
        <v>1264</v>
      </c>
      <c r="O17" s="21" t="n">
        <v>1</v>
      </c>
      <c r="P17" s="5" t="s">
        <v>1680</v>
      </c>
      <c r="Q17" s="5" t="s">
        <v>1744</v>
      </c>
    </row>
    <row r="18" customFormat="false" ht="297" hidden="false" customHeight="false" outlineLevel="0" collapsed="false">
      <c r="A18" s="21" t="s">
        <v>1745</v>
      </c>
      <c r="B18" s="21" t="s">
        <v>1268</v>
      </c>
      <c r="C18" s="21" t="n">
        <v>2</v>
      </c>
      <c r="D18" s="5" t="s">
        <v>1443</v>
      </c>
      <c r="E18" s="5" t="s">
        <v>1444</v>
      </c>
      <c r="F18" s="21" t="s">
        <v>355</v>
      </c>
      <c r="G18" s="21" t="s">
        <v>385</v>
      </c>
      <c r="H18" s="5" t="s">
        <v>1445</v>
      </c>
      <c r="I18" s="21" t="s">
        <v>1446</v>
      </c>
      <c r="J18" s="21" t="s">
        <v>218</v>
      </c>
      <c r="K18" s="21" t="s">
        <v>194</v>
      </c>
      <c r="L18" s="21" t="s">
        <v>1678</v>
      </c>
      <c r="M18" s="5"/>
      <c r="N18" s="5" t="s">
        <v>1679</v>
      </c>
      <c r="O18" s="21" t="n">
        <v>2</v>
      </c>
      <c r="P18" s="5" t="s">
        <v>1705</v>
      </c>
      <c r="Q18" s="5" t="s">
        <v>1447</v>
      </c>
    </row>
    <row r="19" customFormat="false" ht="283.55" hidden="false" customHeight="false" outlineLevel="0" collapsed="false">
      <c r="A19" s="21" t="s">
        <v>1746</v>
      </c>
      <c r="B19" s="21" t="s">
        <v>1259</v>
      </c>
      <c r="C19" s="21" t="n">
        <v>1</v>
      </c>
      <c r="D19" s="5" t="s">
        <v>1747</v>
      </c>
      <c r="E19" s="5" t="s">
        <v>1748</v>
      </c>
      <c r="F19" s="21" t="s">
        <v>355</v>
      </c>
      <c r="G19" s="21" t="s">
        <v>385</v>
      </c>
      <c r="H19" s="5" t="s">
        <v>1749</v>
      </c>
      <c r="I19" s="21" t="s">
        <v>1750</v>
      </c>
      <c r="J19" s="21" t="s">
        <v>218</v>
      </c>
      <c r="K19" s="21" t="s">
        <v>218</v>
      </c>
      <c r="L19" s="21" t="s">
        <v>1263</v>
      </c>
      <c r="M19" s="5"/>
      <c r="N19" s="5" t="s">
        <v>1264</v>
      </c>
      <c r="O19" s="21" t="n">
        <v>1</v>
      </c>
      <c r="P19" s="5" t="s">
        <v>1680</v>
      </c>
      <c r="Q19" s="5" t="s">
        <v>1751</v>
      </c>
    </row>
    <row r="20" customFormat="false" ht="377.6" hidden="false" customHeight="false" outlineLevel="0" collapsed="false">
      <c r="A20" s="21" t="s">
        <v>1752</v>
      </c>
      <c r="B20" s="21" t="s">
        <v>1259</v>
      </c>
      <c r="C20" s="21" t="n">
        <v>1</v>
      </c>
      <c r="D20" s="5" t="s">
        <v>1383</v>
      </c>
      <c r="E20" s="5" t="s">
        <v>1384</v>
      </c>
      <c r="F20" s="21" t="s">
        <v>355</v>
      </c>
      <c r="G20" s="21" t="s">
        <v>385</v>
      </c>
      <c r="H20" s="5" t="s">
        <v>523</v>
      </c>
      <c r="I20" s="21" t="s">
        <v>1385</v>
      </c>
      <c r="J20" s="21" t="s">
        <v>218</v>
      </c>
      <c r="K20" s="21" t="s">
        <v>194</v>
      </c>
      <c r="L20" s="21" t="s">
        <v>1678</v>
      </c>
      <c r="M20" s="5"/>
      <c r="N20" s="5" t="s">
        <v>1679</v>
      </c>
      <c r="O20" s="21" t="n">
        <v>1</v>
      </c>
      <c r="P20" s="5" t="s">
        <v>1680</v>
      </c>
      <c r="Q20" s="5" t="s">
        <v>1386</v>
      </c>
    </row>
    <row r="21" customFormat="false" ht="417.9" hidden="false" customHeight="false" outlineLevel="0" collapsed="false">
      <c r="A21" s="21" t="s">
        <v>1753</v>
      </c>
      <c r="B21" s="21" t="s">
        <v>1685</v>
      </c>
      <c r="C21" s="21" t="n">
        <v>2</v>
      </c>
      <c r="D21" s="5" t="s">
        <v>526</v>
      </c>
      <c r="E21" s="5" t="s">
        <v>527</v>
      </c>
      <c r="F21" s="21" t="s">
        <v>344</v>
      </c>
      <c r="G21" s="21" t="s">
        <v>385</v>
      </c>
      <c r="H21" s="5" t="s">
        <v>453</v>
      </c>
      <c r="I21" s="21" t="s">
        <v>528</v>
      </c>
      <c r="J21" s="21" t="s">
        <v>194</v>
      </c>
      <c r="K21" s="21" t="s">
        <v>218</v>
      </c>
      <c r="L21" s="21" t="s">
        <v>1678</v>
      </c>
      <c r="M21" s="5"/>
      <c r="N21" s="5" t="s">
        <v>1682</v>
      </c>
      <c r="O21" s="21" t="n">
        <v>2</v>
      </c>
      <c r="P21" s="5" t="s">
        <v>1686</v>
      </c>
      <c r="Q21" s="5" t="s">
        <v>529</v>
      </c>
    </row>
    <row r="22" customFormat="false" ht="216.4" hidden="false" customHeight="false" outlineLevel="0" collapsed="false">
      <c r="A22" s="21" t="s">
        <v>1754</v>
      </c>
      <c r="B22" s="21" t="s">
        <v>1509</v>
      </c>
      <c r="C22" s="21" t="n">
        <v>1</v>
      </c>
      <c r="D22" s="5" t="s">
        <v>1755</v>
      </c>
      <c r="E22" s="5" t="s">
        <v>1756</v>
      </c>
      <c r="F22" s="21" t="s">
        <v>355</v>
      </c>
      <c r="G22" s="21" t="s">
        <v>385</v>
      </c>
      <c r="H22" s="5" t="s">
        <v>1757</v>
      </c>
      <c r="I22" s="21" t="s">
        <v>1758</v>
      </c>
      <c r="J22" s="21" t="s">
        <v>218</v>
      </c>
      <c r="K22" s="21" t="s">
        <v>218</v>
      </c>
      <c r="L22" s="21" t="s">
        <v>1263</v>
      </c>
      <c r="M22" s="5"/>
      <c r="N22" s="5" t="s">
        <v>1264</v>
      </c>
      <c r="O22" s="21" t="n">
        <v>1</v>
      </c>
      <c r="P22" s="5" t="s">
        <v>1702</v>
      </c>
      <c r="Q22" s="5" t="s">
        <v>1759</v>
      </c>
    </row>
    <row r="23" customFormat="false" ht="189.55" hidden="false" customHeight="false" outlineLevel="0" collapsed="false">
      <c r="A23" s="21" t="s">
        <v>1760</v>
      </c>
      <c r="B23" s="21" t="s">
        <v>1287</v>
      </c>
      <c r="C23" s="21" t="n">
        <v>1</v>
      </c>
      <c r="D23" s="5" t="s">
        <v>1761</v>
      </c>
      <c r="E23" s="5" t="s">
        <v>1762</v>
      </c>
      <c r="F23" s="21" t="s">
        <v>344</v>
      </c>
      <c r="G23" s="21" t="s">
        <v>385</v>
      </c>
      <c r="H23" s="5" t="s">
        <v>228</v>
      </c>
      <c r="I23" s="21" t="s">
        <v>1763</v>
      </c>
      <c r="J23" s="21" t="s">
        <v>218</v>
      </c>
      <c r="K23" s="21" t="s">
        <v>218</v>
      </c>
      <c r="L23" s="21" t="s">
        <v>1263</v>
      </c>
      <c r="M23" s="5"/>
      <c r="N23" s="5" t="s">
        <v>1264</v>
      </c>
      <c r="O23" s="21" t="n">
        <v>1</v>
      </c>
      <c r="P23" s="5" t="s">
        <v>1683</v>
      </c>
      <c r="Q23" s="5" t="s">
        <v>1764</v>
      </c>
    </row>
    <row r="24" customFormat="false" ht="323.85" hidden="false" customHeight="false" outlineLevel="0" collapsed="false">
      <c r="A24" s="21" t="s">
        <v>1765</v>
      </c>
      <c r="B24" s="21" t="s">
        <v>1287</v>
      </c>
      <c r="C24" s="21" t="n">
        <v>1</v>
      </c>
      <c r="D24" s="5" t="s">
        <v>1766</v>
      </c>
      <c r="E24" s="5" t="s">
        <v>1767</v>
      </c>
      <c r="F24" s="21" t="s">
        <v>355</v>
      </c>
      <c r="G24" s="21" t="s">
        <v>385</v>
      </c>
      <c r="H24" s="5" t="s">
        <v>1768</v>
      </c>
      <c r="I24" s="21" t="s">
        <v>1769</v>
      </c>
      <c r="J24" s="21" t="s">
        <v>218</v>
      </c>
      <c r="K24" s="21" t="s">
        <v>218</v>
      </c>
      <c r="L24" s="21" t="s">
        <v>1263</v>
      </c>
      <c r="M24" s="5"/>
      <c r="N24" s="5" t="s">
        <v>1264</v>
      </c>
      <c r="O24" s="21" t="n">
        <v>1</v>
      </c>
      <c r="P24" s="5" t="s">
        <v>1683</v>
      </c>
      <c r="Q24" s="5" t="s">
        <v>1770</v>
      </c>
    </row>
    <row r="25" customFormat="false" ht="310.4" hidden="false" customHeight="false" outlineLevel="0" collapsed="false">
      <c r="A25" s="21" t="s">
        <v>1771</v>
      </c>
      <c r="B25" s="21" t="s">
        <v>1287</v>
      </c>
      <c r="C25" s="21" t="n">
        <v>1</v>
      </c>
      <c r="D25" s="5" t="s">
        <v>687</v>
      </c>
      <c r="E25" s="5" t="s">
        <v>688</v>
      </c>
      <c r="F25" s="21" t="s">
        <v>344</v>
      </c>
      <c r="G25" s="21" t="s">
        <v>385</v>
      </c>
      <c r="H25" s="5" t="s">
        <v>228</v>
      </c>
      <c r="I25" s="21" t="s">
        <v>689</v>
      </c>
      <c r="J25" s="21" t="s">
        <v>194</v>
      </c>
      <c r="K25" s="21" t="s">
        <v>194</v>
      </c>
      <c r="L25" s="21" t="s">
        <v>1678</v>
      </c>
      <c r="M25" s="5"/>
      <c r="N25" s="5" t="s">
        <v>1682</v>
      </c>
      <c r="O25" s="21" t="n">
        <v>1</v>
      </c>
      <c r="P25" s="5" t="s">
        <v>1683</v>
      </c>
      <c r="Q25" s="5" t="s">
        <v>690</v>
      </c>
    </row>
    <row r="26" customFormat="false" ht="216.4" hidden="false" customHeight="false" outlineLevel="0" collapsed="false">
      <c r="A26" s="21" t="s">
        <v>1772</v>
      </c>
      <c r="B26" s="21" t="s">
        <v>1259</v>
      </c>
      <c r="C26" s="21" t="n">
        <v>1</v>
      </c>
      <c r="D26" s="5" t="s">
        <v>293</v>
      </c>
      <c r="E26" s="5" t="s">
        <v>294</v>
      </c>
      <c r="F26" s="21" t="s">
        <v>355</v>
      </c>
      <c r="G26" s="21" t="s">
        <v>385</v>
      </c>
      <c r="H26" s="5" t="s">
        <v>295</v>
      </c>
      <c r="I26" s="21" t="s">
        <v>296</v>
      </c>
      <c r="J26" s="21" t="s">
        <v>218</v>
      </c>
      <c r="K26" s="21" t="s">
        <v>218</v>
      </c>
      <c r="L26" s="21" t="s">
        <v>1773</v>
      </c>
      <c r="M26" s="5"/>
      <c r="N26" s="5" t="s">
        <v>1774</v>
      </c>
      <c r="O26" s="21" t="n">
        <v>1</v>
      </c>
      <c r="P26" s="5" t="s">
        <v>1680</v>
      </c>
      <c r="Q26" s="5" t="s">
        <v>1775</v>
      </c>
    </row>
    <row r="27" customFormat="false" ht="297" hidden="false" customHeight="false" outlineLevel="0" collapsed="false">
      <c r="A27" s="21" t="s">
        <v>1776</v>
      </c>
      <c r="B27" s="21" t="s">
        <v>1287</v>
      </c>
      <c r="C27" s="21" t="n">
        <v>1</v>
      </c>
      <c r="D27" s="5" t="s">
        <v>1777</v>
      </c>
      <c r="E27" s="5" t="s">
        <v>1778</v>
      </c>
      <c r="F27" s="21" t="s">
        <v>355</v>
      </c>
      <c r="G27" s="21" t="s">
        <v>385</v>
      </c>
      <c r="H27" s="5" t="s">
        <v>1779</v>
      </c>
      <c r="I27" s="21" t="s">
        <v>1780</v>
      </c>
      <c r="J27" s="21" t="s">
        <v>218</v>
      </c>
      <c r="K27" s="21" t="s">
        <v>218</v>
      </c>
      <c r="L27" s="21" t="s">
        <v>1263</v>
      </c>
      <c r="M27" s="5"/>
      <c r="N27" s="5" t="s">
        <v>1264</v>
      </c>
      <c r="O27" s="21" t="n">
        <v>1</v>
      </c>
      <c r="P27" s="5" t="s">
        <v>1683</v>
      </c>
      <c r="Q27" s="5" t="s">
        <v>1781</v>
      </c>
    </row>
    <row r="28" customFormat="false" ht="323.85" hidden="false" customHeight="false" outlineLevel="0" collapsed="false">
      <c r="A28" s="21" t="s">
        <v>1782</v>
      </c>
      <c r="B28" s="21" t="s">
        <v>1268</v>
      </c>
      <c r="C28" s="21" t="n">
        <v>2</v>
      </c>
      <c r="D28" s="5" t="s">
        <v>1491</v>
      </c>
      <c r="E28" s="5" t="s">
        <v>1492</v>
      </c>
      <c r="F28" s="21" t="s">
        <v>355</v>
      </c>
      <c r="G28" s="21" t="s">
        <v>385</v>
      </c>
      <c r="H28" s="5" t="s">
        <v>1493</v>
      </c>
      <c r="I28" s="21" t="s">
        <v>1494</v>
      </c>
      <c r="J28" s="21" t="s">
        <v>218</v>
      </c>
      <c r="K28" s="21" t="s">
        <v>194</v>
      </c>
      <c r="L28" s="21" t="s">
        <v>1678</v>
      </c>
      <c r="M28" s="5"/>
      <c r="N28" s="5" t="s">
        <v>1679</v>
      </c>
      <c r="O28" s="21" t="n">
        <v>2</v>
      </c>
      <c r="P28" s="5" t="s">
        <v>1705</v>
      </c>
      <c r="Q28" s="5" t="s">
        <v>1495</v>
      </c>
    </row>
    <row r="29" customFormat="false" ht="270.1" hidden="false" customHeight="false" outlineLevel="0" collapsed="false">
      <c r="A29" s="21" t="s">
        <v>1783</v>
      </c>
      <c r="B29" s="21" t="s">
        <v>1259</v>
      </c>
      <c r="C29" s="21" t="n">
        <v>1</v>
      </c>
      <c r="D29" s="5" t="s">
        <v>1784</v>
      </c>
      <c r="E29" s="5" t="s">
        <v>1785</v>
      </c>
      <c r="F29" s="21" t="s">
        <v>355</v>
      </c>
      <c r="G29" s="21" t="s">
        <v>385</v>
      </c>
      <c r="H29" s="5" t="s">
        <v>523</v>
      </c>
      <c r="I29" s="21" t="s">
        <v>1786</v>
      </c>
      <c r="J29" s="21" t="s">
        <v>218</v>
      </c>
      <c r="K29" s="21" t="s">
        <v>218</v>
      </c>
      <c r="L29" s="21" t="s">
        <v>1263</v>
      </c>
      <c r="M29" s="5"/>
      <c r="N29" s="5" t="s">
        <v>1264</v>
      </c>
      <c r="O29" s="21" t="n">
        <v>1</v>
      </c>
      <c r="P29" s="5" t="s">
        <v>1680</v>
      </c>
      <c r="Q29" s="5" t="s">
        <v>1787</v>
      </c>
    </row>
    <row r="30" customFormat="false" ht="256.7" hidden="false" customHeight="false" outlineLevel="0" collapsed="false">
      <c r="A30" s="21" t="s">
        <v>1788</v>
      </c>
      <c r="B30" s="21" t="s">
        <v>1685</v>
      </c>
      <c r="C30" s="21" t="n">
        <v>2</v>
      </c>
      <c r="D30" s="5" t="s">
        <v>1510</v>
      </c>
      <c r="E30" s="5" t="s">
        <v>1511</v>
      </c>
      <c r="F30" s="21" t="s">
        <v>355</v>
      </c>
      <c r="G30" s="21" t="s">
        <v>385</v>
      </c>
      <c r="H30" s="5" t="s">
        <v>276</v>
      </c>
      <c r="I30" s="21" t="s">
        <v>1512</v>
      </c>
      <c r="J30" s="21" t="s">
        <v>218</v>
      </c>
      <c r="K30" s="21" t="s">
        <v>194</v>
      </c>
      <c r="L30" s="21" t="s">
        <v>1678</v>
      </c>
      <c r="M30" s="5"/>
      <c r="N30" s="5" t="s">
        <v>1679</v>
      </c>
      <c r="O30" s="21" t="n">
        <v>2</v>
      </c>
      <c r="P30" s="5" t="s">
        <v>1686</v>
      </c>
      <c r="Q30" s="5" t="s">
        <v>1514</v>
      </c>
    </row>
    <row r="31" customFormat="false" ht="283.55" hidden="false" customHeight="false" outlineLevel="0" collapsed="false">
      <c r="A31" s="21" t="s">
        <v>1789</v>
      </c>
      <c r="B31" s="21" t="s">
        <v>1287</v>
      </c>
      <c r="C31" s="21" t="n">
        <v>1</v>
      </c>
      <c r="D31" s="5" t="s">
        <v>1790</v>
      </c>
      <c r="E31" s="5" t="s">
        <v>1791</v>
      </c>
      <c r="F31" s="21" t="s">
        <v>355</v>
      </c>
      <c r="G31" s="21" t="s">
        <v>385</v>
      </c>
      <c r="H31" s="5" t="s">
        <v>1792</v>
      </c>
      <c r="I31" s="21" t="s">
        <v>1793</v>
      </c>
      <c r="J31" s="21" t="s">
        <v>218</v>
      </c>
      <c r="K31" s="21" t="s">
        <v>218</v>
      </c>
      <c r="L31" s="21" t="s">
        <v>1263</v>
      </c>
      <c r="M31" s="5"/>
      <c r="N31" s="5" t="s">
        <v>1264</v>
      </c>
      <c r="O31" s="21" t="n">
        <v>1</v>
      </c>
      <c r="P31" s="5" t="s">
        <v>1683</v>
      </c>
      <c r="Q31" s="5" t="s">
        <v>1794</v>
      </c>
    </row>
    <row r="32" customFormat="false" ht="297" hidden="false" customHeight="false" outlineLevel="0" collapsed="false">
      <c r="A32" s="21" t="s">
        <v>1795</v>
      </c>
      <c r="B32" s="21" t="s">
        <v>1280</v>
      </c>
      <c r="C32" s="21" t="n">
        <v>1</v>
      </c>
      <c r="D32" s="5" t="s">
        <v>299</v>
      </c>
      <c r="E32" s="5" t="s">
        <v>300</v>
      </c>
      <c r="F32" s="21" t="s">
        <v>355</v>
      </c>
      <c r="G32" s="21" t="s">
        <v>385</v>
      </c>
      <c r="H32" s="5" t="s">
        <v>204</v>
      </c>
      <c r="I32" s="21" t="s">
        <v>301</v>
      </c>
      <c r="J32" s="21" t="s">
        <v>218</v>
      </c>
      <c r="K32" s="21" t="s">
        <v>218</v>
      </c>
      <c r="L32" s="21" t="s">
        <v>1773</v>
      </c>
      <c r="M32" s="5"/>
      <c r="N32" s="5" t="s">
        <v>1796</v>
      </c>
      <c r="O32" s="21" t="n">
        <v>1</v>
      </c>
      <c r="P32" s="5" t="s">
        <v>1797</v>
      </c>
      <c r="Q32" s="5" t="s">
        <v>1798</v>
      </c>
    </row>
    <row r="33" customFormat="false" ht="243.25" hidden="false" customHeight="false" outlineLevel="0" collapsed="false">
      <c r="A33" s="21" t="s">
        <v>1799</v>
      </c>
      <c r="B33" s="21" t="s">
        <v>1685</v>
      </c>
      <c r="C33" s="21" t="n">
        <v>2</v>
      </c>
      <c r="D33" s="5" t="s">
        <v>869</v>
      </c>
      <c r="E33" s="5" t="s">
        <v>870</v>
      </c>
      <c r="F33" s="21" t="s">
        <v>344</v>
      </c>
      <c r="G33" s="21" t="s">
        <v>385</v>
      </c>
      <c r="H33" s="5" t="s">
        <v>855</v>
      </c>
      <c r="I33" s="21" t="s">
        <v>871</v>
      </c>
      <c r="J33" s="21" t="s">
        <v>194</v>
      </c>
      <c r="K33" s="21" t="s">
        <v>218</v>
      </c>
      <c r="L33" s="21" t="s">
        <v>1678</v>
      </c>
      <c r="M33" s="5"/>
      <c r="N33" s="5" t="s">
        <v>1682</v>
      </c>
      <c r="O33" s="21" t="n">
        <v>2</v>
      </c>
      <c r="P33" s="5" t="s">
        <v>1686</v>
      </c>
      <c r="Q33" s="5" t="s">
        <v>872</v>
      </c>
    </row>
    <row r="34" customFormat="false" ht="256.7" hidden="false" customHeight="false" outlineLevel="0" collapsed="false">
      <c r="A34" s="21" t="s">
        <v>1800</v>
      </c>
      <c r="B34" s="21" t="s">
        <v>1287</v>
      </c>
      <c r="C34" s="21" t="n">
        <v>1</v>
      </c>
      <c r="D34" s="5" t="s">
        <v>1801</v>
      </c>
      <c r="E34" s="5" t="s">
        <v>1802</v>
      </c>
      <c r="F34" s="21" t="s">
        <v>355</v>
      </c>
      <c r="G34" s="21" t="s">
        <v>385</v>
      </c>
      <c r="H34" s="5" t="s">
        <v>1803</v>
      </c>
      <c r="I34" s="21" t="s">
        <v>1804</v>
      </c>
      <c r="J34" s="21" t="s">
        <v>218</v>
      </c>
      <c r="K34" s="21" t="s">
        <v>218</v>
      </c>
      <c r="L34" s="21" t="s">
        <v>1263</v>
      </c>
      <c r="M34" s="5"/>
      <c r="N34" s="5" t="s">
        <v>1264</v>
      </c>
      <c r="O34" s="21" t="n">
        <v>1</v>
      </c>
      <c r="P34" s="5" t="s">
        <v>1683</v>
      </c>
      <c r="Q34" s="5" t="s">
        <v>1805</v>
      </c>
    </row>
    <row r="35" customFormat="false" ht="364.15" hidden="false" customHeight="false" outlineLevel="0" collapsed="false">
      <c r="A35" s="21" t="s">
        <v>1806</v>
      </c>
      <c r="B35" s="21" t="s">
        <v>1259</v>
      </c>
      <c r="C35" s="21" t="n">
        <v>1</v>
      </c>
      <c r="D35" s="5" t="s">
        <v>1807</v>
      </c>
      <c r="E35" s="5" t="s">
        <v>1808</v>
      </c>
      <c r="F35" s="21" t="s">
        <v>355</v>
      </c>
      <c r="G35" s="21" t="s">
        <v>385</v>
      </c>
      <c r="H35" s="5" t="s">
        <v>626</v>
      </c>
      <c r="I35" s="21" t="s">
        <v>1809</v>
      </c>
      <c r="J35" s="21" t="s">
        <v>218</v>
      </c>
      <c r="K35" s="21" t="s">
        <v>218</v>
      </c>
      <c r="L35" s="21" t="s">
        <v>1263</v>
      </c>
      <c r="M35" s="5"/>
      <c r="N35" s="5" t="s">
        <v>1264</v>
      </c>
      <c r="O35" s="21" t="n">
        <v>1</v>
      </c>
      <c r="P35" s="5" t="s">
        <v>1680</v>
      </c>
      <c r="Q35" s="5" t="s">
        <v>1810</v>
      </c>
    </row>
    <row r="36" customFormat="false" ht="216.4" hidden="false" customHeight="false" outlineLevel="0" collapsed="false">
      <c r="A36" s="21" t="s">
        <v>1811</v>
      </c>
      <c r="B36" s="21" t="s">
        <v>1812</v>
      </c>
      <c r="C36" s="21" t="n">
        <v>3</v>
      </c>
      <c r="D36" s="5" t="s">
        <v>1813</v>
      </c>
      <c r="E36" s="5" t="s">
        <v>294</v>
      </c>
      <c r="F36" s="21" t="s">
        <v>355</v>
      </c>
      <c r="G36" s="21" t="s">
        <v>385</v>
      </c>
      <c r="H36" s="5" t="s">
        <v>1814</v>
      </c>
      <c r="I36" s="21" t="s">
        <v>1815</v>
      </c>
      <c r="J36" s="21" t="s">
        <v>218</v>
      </c>
      <c r="K36" s="21" t="s">
        <v>218</v>
      </c>
      <c r="L36" s="21" t="s">
        <v>1263</v>
      </c>
      <c r="M36" s="5" t="s">
        <v>1816</v>
      </c>
      <c r="N36" s="5" t="s">
        <v>1817</v>
      </c>
      <c r="O36" s="21" t="n">
        <v>3</v>
      </c>
      <c r="P36" s="5" t="s">
        <v>1818</v>
      </c>
      <c r="Q36" s="5" t="s">
        <v>1819</v>
      </c>
    </row>
    <row r="37" customFormat="false" ht="310.4" hidden="false" customHeight="false" outlineLevel="0" collapsed="false">
      <c r="A37" s="21" t="s">
        <v>1820</v>
      </c>
      <c r="B37" s="21" t="s">
        <v>1287</v>
      </c>
      <c r="C37" s="21" t="n">
        <v>1</v>
      </c>
      <c r="D37" s="5" t="s">
        <v>1821</v>
      </c>
      <c r="E37" s="5" t="s">
        <v>1822</v>
      </c>
      <c r="F37" s="21" t="s">
        <v>344</v>
      </c>
      <c r="G37" s="21" t="s">
        <v>385</v>
      </c>
      <c r="H37" s="5" t="s">
        <v>1087</v>
      </c>
      <c r="I37" s="21" t="s">
        <v>1823</v>
      </c>
      <c r="J37" s="21" t="s">
        <v>218</v>
      </c>
      <c r="K37" s="21" t="s">
        <v>218</v>
      </c>
      <c r="L37" s="21" t="s">
        <v>1263</v>
      </c>
      <c r="M37" s="5"/>
      <c r="N37" s="5" t="s">
        <v>1264</v>
      </c>
      <c r="O37" s="21" t="n">
        <v>1</v>
      </c>
      <c r="P37" s="5" t="s">
        <v>1683</v>
      </c>
      <c r="Q37" s="5" t="s">
        <v>1824</v>
      </c>
    </row>
    <row r="38" customFormat="false" ht="283.55" hidden="false" customHeight="false" outlineLevel="0" collapsed="false">
      <c r="A38" s="21" t="s">
        <v>1825</v>
      </c>
      <c r="B38" s="21" t="s">
        <v>1287</v>
      </c>
      <c r="C38" s="21" t="n">
        <v>1</v>
      </c>
      <c r="D38" s="5" t="s">
        <v>1826</v>
      </c>
      <c r="E38" s="5" t="s">
        <v>1827</v>
      </c>
      <c r="F38" s="21" t="s">
        <v>344</v>
      </c>
      <c r="G38" s="21" t="s">
        <v>385</v>
      </c>
      <c r="H38" s="5" t="s">
        <v>809</v>
      </c>
      <c r="I38" s="21" t="s">
        <v>1828</v>
      </c>
      <c r="J38" s="21" t="s">
        <v>218</v>
      </c>
      <c r="K38" s="21" t="s">
        <v>218</v>
      </c>
      <c r="L38" s="21" t="s">
        <v>1263</v>
      </c>
      <c r="M38" s="5"/>
      <c r="N38" s="5" t="s">
        <v>1264</v>
      </c>
      <c r="O38" s="21" t="n">
        <v>1</v>
      </c>
      <c r="P38" s="5" t="s">
        <v>1683</v>
      </c>
      <c r="Q38" s="5" t="s">
        <v>1829</v>
      </c>
    </row>
    <row r="39" customFormat="false" ht="216.4" hidden="false" customHeight="false" outlineLevel="0" collapsed="false">
      <c r="A39" s="21" t="s">
        <v>1830</v>
      </c>
      <c r="B39" s="21" t="s">
        <v>1259</v>
      </c>
      <c r="C39" s="21" t="n">
        <v>1</v>
      </c>
      <c r="D39" s="5" t="s">
        <v>1831</v>
      </c>
      <c r="E39" s="5" t="s">
        <v>1832</v>
      </c>
      <c r="F39" s="21" t="s">
        <v>355</v>
      </c>
      <c r="G39" s="21" t="s">
        <v>385</v>
      </c>
      <c r="H39" s="5" t="s">
        <v>626</v>
      </c>
      <c r="I39" s="21" t="s">
        <v>1833</v>
      </c>
      <c r="J39" s="21" t="s">
        <v>218</v>
      </c>
      <c r="K39" s="21" t="s">
        <v>218</v>
      </c>
      <c r="L39" s="21" t="s">
        <v>1263</v>
      </c>
      <c r="M39" s="5"/>
      <c r="N39" s="5" t="s">
        <v>1264</v>
      </c>
      <c r="O39" s="21" t="n">
        <v>1</v>
      </c>
      <c r="P39" s="5" t="s">
        <v>1680</v>
      </c>
      <c r="Q39" s="5" t="s">
        <v>1834</v>
      </c>
    </row>
    <row r="40" customFormat="false" ht="310.4" hidden="false" customHeight="false" outlineLevel="0" collapsed="false">
      <c r="A40" s="21" t="s">
        <v>1835</v>
      </c>
      <c r="B40" s="21" t="s">
        <v>1259</v>
      </c>
      <c r="C40" s="21" t="n">
        <v>1</v>
      </c>
      <c r="D40" s="5" t="s">
        <v>1575</v>
      </c>
      <c r="E40" s="5" t="s">
        <v>1576</v>
      </c>
      <c r="F40" s="21" t="s">
        <v>355</v>
      </c>
      <c r="G40" s="21" t="s">
        <v>385</v>
      </c>
      <c r="H40" s="5" t="s">
        <v>523</v>
      </c>
      <c r="I40" s="21" t="s">
        <v>1577</v>
      </c>
      <c r="J40" s="21" t="s">
        <v>218</v>
      </c>
      <c r="K40" s="21" t="s">
        <v>194</v>
      </c>
      <c r="L40" s="21" t="s">
        <v>1678</v>
      </c>
      <c r="M40" s="5"/>
      <c r="N40" s="5" t="s">
        <v>1679</v>
      </c>
      <c r="O40" s="21" t="n">
        <v>1</v>
      </c>
      <c r="P40" s="5" t="s">
        <v>1680</v>
      </c>
      <c r="Q40" s="5" t="s">
        <v>1578</v>
      </c>
    </row>
    <row r="41" customFormat="false" ht="364.15" hidden="false" customHeight="false" outlineLevel="0" collapsed="false">
      <c r="A41" s="21" t="s">
        <v>1836</v>
      </c>
      <c r="B41" s="21" t="s">
        <v>1259</v>
      </c>
      <c r="C41" s="21" t="n">
        <v>1</v>
      </c>
      <c r="D41" s="5" t="s">
        <v>1837</v>
      </c>
      <c r="E41" s="5" t="s">
        <v>1838</v>
      </c>
      <c r="F41" s="21" t="s">
        <v>355</v>
      </c>
      <c r="G41" s="21" t="s">
        <v>385</v>
      </c>
      <c r="H41" s="5" t="s">
        <v>575</v>
      </c>
      <c r="I41" s="21" t="s">
        <v>1839</v>
      </c>
      <c r="J41" s="21" t="s">
        <v>218</v>
      </c>
      <c r="K41" s="21" t="s">
        <v>218</v>
      </c>
      <c r="L41" s="21" t="s">
        <v>1263</v>
      </c>
      <c r="M41" s="5"/>
      <c r="N41" s="5" t="s">
        <v>1264</v>
      </c>
      <c r="O41" s="21" t="n">
        <v>1</v>
      </c>
      <c r="P41" s="5" t="s">
        <v>1680</v>
      </c>
      <c r="Q41" s="5" t="s">
        <v>1840</v>
      </c>
    </row>
    <row r="42" customFormat="false" ht="216.4" hidden="false" customHeight="false" outlineLevel="0" collapsed="false">
      <c r="A42" s="21" t="s">
        <v>1841</v>
      </c>
      <c r="B42" s="21" t="s">
        <v>1259</v>
      </c>
      <c r="C42" s="21" t="n">
        <v>1</v>
      </c>
      <c r="D42" s="5" t="s">
        <v>1842</v>
      </c>
      <c r="E42" s="5" t="s">
        <v>1843</v>
      </c>
      <c r="F42" s="21" t="s">
        <v>355</v>
      </c>
      <c r="G42" s="21" t="s">
        <v>385</v>
      </c>
      <c r="H42" s="5" t="s">
        <v>1844</v>
      </c>
      <c r="I42" s="21" t="s">
        <v>1845</v>
      </c>
      <c r="J42" s="21" t="s">
        <v>218</v>
      </c>
      <c r="K42" s="21" t="s">
        <v>218</v>
      </c>
      <c r="L42" s="21" t="s">
        <v>1263</v>
      </c>
      <c r="M42" s="5"/>
      <c r="N42" s="5" t="s">
        <v>1264</v>
      </c>
      <c r="O42" s="21" t="n">
        <v>1</v>
      </c>
      <c r="P42" s="5" t="s">
        <v>1680</v>
      </c>
      <c r="Q42" s="5" t="s">
        <v>1846</v>
      </c>
    </row>
    <row r="43" customFormat="false" ht="323.85" hidden="false" customHeight="false" outlineLevel="0" collapsed="false">
      <c r="A43" s="21" t="s">
        <v>1847</v>
      </c>
      <c r="B43" s="21" t="s">
        <v>1685</v>
      </c>
      <c r="C43" s="21" t="n">
        <v>2</v>
      </c>
      <c r="D43" s="5" t="s">
        <v>274</v>
      </c>
      <c r="E43" s="5" t="s">
        <v>275</v>
      </c>
      <c r="F43" s="21" t="s">
        <v>344</v>
      </c>
      <c r="G43" s="21" t="s">
        <v>385</v>
      </c>
      <c r="H43" s="5" t="s">
        <v>276</v>
      </c>
      <c r="I43" s="21" t="s">
        <v>277</v>
      </c>
      <c r="J43" s="21" t="s">
        <v>194</v>
      </c>
      <c r="K43" s="21" t="s">
        <v>194</v>
      </c>
      <c r="L43" s="21" t="s">
        <v>1678</v>
      </c>
      <c r="M43" s="5"/>
      <c r="N43" s="5" t="s">
        <v>1848</v>
      </c>
      <c r="O43" s="21" t="n">
        <v>2</v>
      </c>
      <c r="P43" s="5" t="s">
        <v>1686</v>
      </c>
      <c r="Q43" s="5" t="s">
        <v>989</v>
      </c>
    </row>
    <row r="44" customFormat="false" ht="619.4" hidden="false" customHeight="false" outlineLevel="0" collapsed="false">
      <c r="A44" s="21" t="s">
        <v>1849</v>
      </c>
      <c r="B44" s="21" t="s">
        <v>1287</v>
      </c>
      <c r="C44" s="21" t="n">
        <v>1</v>
      </c>
      <c r="D44" s="5" t="s">
        <v>1850</v>
      </c>
      <c r="E44" s="5" t="s">
        <v>1851</v>
      </c>
      <c r="F44" s="21" t="s">
        <v>344</v>
      </c>
      <c r="G44" s="21" t="s">
        <v>385</v>
      </c>
      <c r="H44" s="5" t="s">
        <v>1852</v>
      </c>
      <c r="I44" s="21" t="s">
        <v>1853</v>
      </c>
      <c r="J44" s="21" t="s">
        <v>218</v>
      </c>
      <c r="K44" s="21" t="s">
        <v>218</v>
      </c>
      <c r="L44" s="21" t="s">
        <v>1263</v>
      </c>
      <c r="M44" s="5"/>
      <c r="N44" s="5" t="s">
        <v>1264</v>
      </c>
      <c r="O44" s="21" t="n">
        <v>1</v>
      </c>
      <c r="P44" s="5" t="s">
        <v>1683</v>
      </c>
      <c r="Q44" s="5" t="s">
        <v>1854</v>
      </c>
    </row>
    <row r="45" customFormat="false" ht="391" hidden="false" customHeight="false" outlineLevel="0" collapsed="false">
      <c r="A45" s="21" t="s">
        <v>1855</v>
      </c>
      <c r="B45" s="21" t="s">
        <v>1509</v>
      </c>
      <c r="C45" s="21" t="n">
        <v>1</v>
      </c>
      <c r="D45" s="5" t="s">
        <v>996</v>
      </c>
      <c r="E45" s="5" t="s">
        <v>997</v>
      </c>
      <c r="F45" s="21" t="s">
        <v>344</v>
      </c>
      <c r="G45" s="21" t="s">
        <v>385</v>
      </c>
      <c r="H45" s="5" t="s">
        <v>276</v>
      </c>
      <c r="I45" s="21" t="s">
        <v>998</v>
      </c>
      <c r="J45" s="21" t="s">
        <v>194</v>
      </c>
      <c r="K45" s="21" t="s">
        <v>218</v>
      </c>
      <c r="L45" s="21" t="s">
        <v>1678</v>
      </c>
      <c r="M45" s="5"/>
      <c r="N45" s="5" t="s">
        <v>1682</v>
      </c>
      <c r="O45" s="21" t="n">
        <v>1</v>
      </c>
      <c r="P45" s="5" t="s">
        <v>1702</v>
      </c>
      <c r="Q45" s="5" t="s">
        <v>999</v>
      </c>
    </row>
    <row r="46" customFormat="false" ht="283.55" hidden="false" customHeight="false" outlineLevel="0" collapsed="false">
      <c r="A46" s="21" t="s">
        <v>1856</v>
      </c>
      <c r="B46" s="21" t="s">
        <v>1287</v>
      </c>
      <c r="C46" s="21" t="n">
        <v>1</v>
      </c>
      <c r="D46" s="5" t="s">
        <v>1857</v>
      </c>
      <c r="E46" s="5" t="s">
        <v>1858</v>
      </c>
      <c r="F46" s="21" t="s">
        <v>344</v>
      </c>
      <c r="G46" s="21" t="s">
        <v>385</v>
      </c>
      <c r="H46" s="5" t="s">
        <v>762</v>
      </c>
      <c r="I46" s="21" t="s">
        <v>1859</v>
      </c>
      <c r="J46" s="21" t="s">
        <v>218</v>
      </c>
      <c r="K46" s="21" t="s">
        <v>218</v>
      </c>
      <c r="L46" s="21" t="s">
        <v>1263</v>
      </c>
      <c r="M46" s="5"/>
      <c r="N46" s="5" t="s">
        <v>1264</v>
      </c>
      <c r="O46" s="21" t="n">
        <v>1</v>
      </c>
      <c r="P46" s="5" t="s">
        <v>1683</v>
      </c>
      <c r="Q46" s="5" t="s">
        <v>1860</v>
      </c>
    </row>
    <row r="47" customFormat="false" ht="364.15" hidden="false" customHeight="false" outlineLevel="0" collapsed="false">
      <c r="A47" s="21" t="s">
        <v>1861</v>
      </c>
      <c r="B47" s="21" t="s">
        <v>1280</v>
      </c>
      <c r="C47" s="21" t="n">
        <v>1</v>
      </c>
      <c r="D47" s="5" t="s">
        <v>1037</v>
      </c>
      <c r="E47" s="5" t="s">
        <v>1038</v>
      </c>
      <c r="F47" s="21" t="s">
        <v>344</v>
      </c>
      <c r="G47" s="21" t="s">
        <v>385</v>
      </c>
      <c r="H47" s="5" t="s">
        <v>276</v>
      </c>
      <c r="I47" s="21" t="s">
        <v>1039</v>
      </c>
      <c r="J47" s="21" t="s">
        <v>194</v>
      </c>
      <c r="K47" s="21" t="s">
        <v>218</v>
      </c>
      <c r="L47" s="21" t="s">
        <v>1678</v>
      </c>
      <c r="M47" s="5"/>
      <c r="N47" s="5" t="s">
        <v>1682</v>
      </c>
      <c r="O47" s="21" t="n">
        <v>1</v>
      </c>
      <c r="P47" s="5" t="s">
        <v>1797</v>
      </c>
      <c r="Q47" s="5" t="s">
        <v>1040</v>
      </c>
    </row>
    <row r="48" customFormat="false" ht="297" hidden="false" customHeight="false" outlineLevel="0" collapsed="false">
      <c r="A48" s="21" t="s">
        <v>1862</v>
      </c>
      <c r="B48" s="21" t="s">
        <v>1685</v>
      </c>
      <c r="C48" s="21" t="n">
        <v>2</v>
      </c>
      <c r="D48" s="5" t="s">
        <v>279</v>
      </c>
      <c r="E48" s="5" t="s">
        <v>280</v>
      </c>
      <c r="F48" s="21" t="s">
        <v>344</v>
      </c>
      <c r="G48" s="21" t="s">
        <v>385</v>
      </c>
      <c r="H48" s="5" t="s">
        <v>223</v>
      </c>
      <c r="I48" s="21" t="s">
        <v>281</v>
      </c>
      <c r="J48" s="21" t="s">
        <v>194</v>
      </c>
      <c r="K48" s="21" t="s">
        <v>218</v>
      </c>
      <c r="L48" s="21" t="s">
        <v>1678</v>
      </c>
      <c r="M48" s="5"/>
      <c r="N48" s="5" t="s">
        <v>1863</v>
      </c>
      <c r="O48" s="21" t="n">
        <v>2</v>
      </c>
      <c r="P48" s="5" t="s">
        <v>1686</v>
      </c>
      <c r="Q48" s="5" t="s">
        <v>1071</v>
      </c>
    </row>
    <row r="49" customFormat="false" ht="377.6" hidden="false" customHeight="false" outlineLevel="0" collapsed="false">
      <c r="A49" s="21" t="s">
        <v>1864</v>
      </c>
      <c r="B49" s="21" t="s">
        <v>1280</v>
      </c>
      <c r="C49" s="21" t="n">
        <v>1</v>
      </c>
      <c r="D49" s="5" t="s">
        <v>1865</v>
      </c>
      <c r="E49" s="5" t="s">
        <v>1866</v>
      </c>
      <c r="F49" s="21" t="s">
        <v>355</v>
      </c>
      <c r="G49" s="21" t="s">
        <v>385</v>
      </c>
      <c r="H49" s="5" t="s">
        <v>276</v>
      </c>
      <c r="I49" s="21" t="s">
        <v>1867</v>
      </c>
      <c r="J49" s="21" t="s">
        <v>218</v>
      </c>
      <c r="K49" s="21" t="s">
        <v>218</v>
      </c>
      <c r="L49" s="21" t="s">
        <v>1263</v>
      </c>
      <c r="M49" s="5" t="s">
        <v>1868</v>
      </c>
      <c r="N49" s="5" t="s">
        <v>1738</v>
      </c>
      <c r="O49" s="21" t="n">
        <v>1</v>
      </c>
      <c r="P49" s="5" t="s">
        <v>1797</v>
      </c>
      <c r="Q49" s="5" t="s">
        <v>1869</v>
      </c>
    </row>
    <row r="50" customFormat="false" ht="310.4" hidden="false" customHeight="false" outlineLevel="0" collapsed="false">
      <c r="A50" s="21" t="s">
        <v>1870</v>
      </c>
      <c r="B50" s="21" t="s">
        <v>1259</v>
      </c>
      <c r="C50" s="21" t="n">
        <v>1</v>
      </c>
      <c r="D50" s="5" t="s">
        <v>1871</v>
      </c>
      <c r="E50" s="5" t="s">
        <v>1872</v>
      </c>
      <c r="F50" s="21" t="s">
        <v>355</v>
      </c>
      <c r="G50" s="21" t="s">
        <v>385</v>
      </c>
      <c r="H50" s="5" t="s">
        <v>1873</v>
      </c>
      <c r="I50" s="21" t="s">
        <v>1874</v>
      </c>
      <c r="J50" s="21" t="s">
        <v>218</v>
      </c>
      <c r="K50" s="21" t="s">
        <v>218</v>
      </c>
      <c r="L50" s="21" t="s">
        <v>1263</v>
      </c>
      <c r="M50" s="5"/>
      <c r="N50" s="5" t="s">
        <v>1264</v>
      </c>
      <c r="O50" s="21" t="n">
        <v>1</v>
      </c>
      <c r="P50" s="5" t="s">
        <v>1680</v>
      </c>
      <c r="Q50" s="5" t="s">
        <v>1875</v>
      </c>
    </row>
    <row r="51" customFormat="false" ht="256.7" hidden="false" customHeight="false" outlineLevel="0" collapsed="false">
      <c r="A51" s="21" t="s">
        <v>1876</v>
      </c>
      <c r="B51" s="21" t="s">
        <v>1259</v>
      </c>
      <c r="C51" s="21" t="n">
        <v>1</v>
      </c>
      <c r="D51" s="5" t="s">
        <v>1877</v>
      </c>
      <c r="E51" s="5" t="s">
        <v>1878</v>
      </c>
      <c r="F51" s="21" t="s">
        <v>355</v>
      </c>
      <c r="G51" s="21" t="s">
        <v>385</v>
      </c>
      <c r="H51" s="5" t="s">
        <v>1879</v>
      </c>
      <c r="I51" s="21" t="s">
        <v>1880</v>
      </c>
      <c r="J51" s="21" t="s">
        <v>218</v>
      </c>
      <c r="K51" s="21" t="s">
        <v>218</v>
      </c>
      <c r="L51" s="21" t="s">
        <v>1263</v>
      </c>
      <c r="M51" s="5"/>
      <c r="N51" s="5" t="s">
        <v>1264</v>
      </c>
      <c r="O51" s="21" t="n">
        <v>1</v>
      </c>
      <c r="P51" s="5" t="s">
        <v>1680</v>
      </c>
      <c r="Q51" s="5" t="s">
        <v>1881</v>
      </c>
    </row>
    <row r="52" customFormat="false" ht="270.1" hidden="false" customHeight="false" outlineLevel="0" collapsed="false">
      <c r="A52" s="21" t="s">
        <v>1882</v>
      </c>
      <c r="B52" s="21" t="s">
        <v>1685</v>
      </c>
      <c r="C52" s="21" t="n">
        <v>2</v>
      </c>
      <c r="D52" s="5" t="s">
        <v>288</v>
      </c>
      <c r="E52" s="5" t="s">
        <v>289</v>
      </c>
      <c r="F52" s="21" t="s">
        <v>344</v>
      </c>
      <c r="G52" s="21" t="s">
        <v>385</v>
      </c>
      <c r="H52" s="5" t="s">
        <v>276</v>
      </c>
      <c r="I52" s="21" t="s">
        <v>290</v>
      </c>
      <c r="J52" s="21" t="s">
        <v>194</v>
      </c>
      <c r="K52" s="21" t="s">
        <v>218</v>
      </c>
      <c r="L52" s="21" t="s">
        <v>1678</v>
      </c>
      <c r="M52" s="5"/>
      <c r="N52" s="5" t="s">
        <v>1883</v>
      </c>
      <c r="O52" s="21" t="n">
        <v>2</v>
      </c>
      <c r="P52" s="5" t="s">
        <v>1686</v>
      </c>
      <c r="Q52" s="5" t="s">
        <v>1884</v>
      </c>
    </row>
    <row r="53" customFormat="false" ht="323.85" hidden="false" customHeight="false" outlineLevel="0" collapsed="false">
      <c r="A53" s="21" t="s">
        <v>1885</v>
      </c>
      <c r="B53" s="21" t="s">
        <v>1259</v>
      </c>
      <c r="C53" s="21" t="n">
        <v>1</v>
      </c>
      <c r="D53" s="5" t="s">
        <v>1886</v>
      </c>
      <c r="E53" s="5" t="s">
        <v>1887</v>
      </c>
      <c r="F53" s="21" t="s">
        <v>355</v>
      </c>
      <c r="G53" s="21" t="s">
        <v>385</v>
      </c>
      <c r="H53" s="5" t="s">
        <v>1888</v>
      </c>
      <c r="I53" s="21" t="s">
        <v>1889</v>
      </c>
      <c r="J53" s="21" t="s">
        <v>218</v>
      </c>
      <c r="K53" s="21" t="s">
        <v>218</v>
      </c>
      <c r="L53" s="21" t="s">
        <v>1263</v>
      </c>
      <c r="M53" s="5"/>
      <c r="N53" s="5" t="s">
        <v>1264</v>
      </c>
      <c r="O53" s="21" t="n">
        <v>1</v>
      </c>
      <c r="P53" s="5" t="s">
        <v>1680</v>
      </c>
      <c r="Q53" s="5" t="s">
        <v>1890</v>
      </c>
    </row>
    <row r="54" customFormat="false" ht="364.15" hidden="false" customHeight="false" outlineLevel="0" collapsed="false">
      <c r="A54" s="21" t="s">
        <v>1891</v>
      </c>
      <c r="B54" s="21" t="s">
        <v>1259</v>
      </c>
      <c r="C54" s="21" t="n">
        <v>1</v>
      </c>
      <c r="D54" s="5" t="s">
        <v>1892</v>
      </c>
      <c r="E54" s="5" t="s">
        <v>1893</v>
      </c>
      <c r="F54" s="21" t="s">
        <v>355</v>
      </c>
      <c r="G54" s="21" t="s">
        <v>385</v>
      </c>
      <c r="H54" s="5" t="s">
        <v>1894</v>
      </c>
      <c r="I54" s="21" t="s">
        <v>1895</v>
      </c>
      <c r="J54" s="21" t="s">
        <v>218</v>
      </c>
      <c r="K54" s="21" t="s">
        <v>218</v>
      </c>
      <c r="L54" s="21" t="s">
        <v>1263</v>
      </c>
      <c r="M54" s="5"/>
      <c r="N54" s="5" t="s">
        <v>1264</v>
      </c>
      <c r="O54" s="21" t="n">
        <v>1</v>
      </c>
      <c r="P54" s="5" t="s">
        <v>1680</v>
      </c>
      <c r="Q54" s="5" t="s">
        <v>1896</v>
      </c>
    </row>
    <row r="55" customFormat="false" ht="364.15" hidden="false" customHeight="false" outlineLevel="0" collapsed="false">
      <c r="A55" s="21" t="s">
        <v>1897</v>
      </c>
      <c r="B55" s="21" t="s">
        <v>1287</v>
      </c>
      <c r="C55" s="21" t="n">
        <v>1</v>
      </c>
      <c r="D55" s="5" t="s">
        <v>1174</v>
      </c>
      <c r="E55" s="5" t="s">
        <v>1175</v>
      </c>
      <c r="F55" s="21" t="s">
        <v>355</v>
      </c>
      <c r="G55" s="21" t="s">
        <v>385</v>
      </c>
      <c r="H55" s="5" t="s">
        <v>228</v>
      </c>
      <c r="I55" s="21" t="s">
        <v>1176</v>
      </c>
      <c r="J55" s="21" t="s">
        <v>194</v>
      </c>
      <c r="K55" s="21" t="s">
        <v>218</v>
      </c>
      <c r="L55" s="21" t="s">
        <v>1678</v>
      </c>
      <c r="M55" s="5"/>
      <c r="N55" s="5" t="s">
        <v>1682</v>
      </c>
      <c r="O55" s="21" t="n">
        <v>1</v>
      </c>
      <c r="P55" s="5" t="s">
        <v>1683</v>
      </c>
      <c r="Q55" s="5" t="s">
        <v>1177</v>
      </c>
    </row>
    <row r="56" customFormat="false" ht="297" hidden="false" customHeight="false" outlineLevel="0" collapsed="false">
      <c r="A56" s="21" t="s">
        <v>1898</v>
      </c>
      <c r="B56" s="21" t="s">
        <v>1287</v>
      </c>
      <c r="C56" s="21" t="n">
        <v>1</v>
      </c>
      <c r="D56" s="5" t="s">
        <v>1899</v>
      </c>
      <c r="E56" s="5" t="s">
        <v>1900</v>
      </c>
      <c r="F56" s="21" t="s">
        <v>344</v>
      </c>
      <c r="G56" s="21" t="s">
        <v>385</v>
      </c>
      <c r="H56" s="5" t="s">
        <v>228</v>
      </c>
      <c r="I56" s="21" t="s">
        <v>1901</v>
      </c>
      <c r="J56" s="21" t="s">
        <v>218</v>
      </c>
      <c r="K56" s="21" t="s">
        <v>218</v>
      </c>
      <c r="L56" s="21" t="s">
        <v>1263</v>
      </c>
      <c r="M56" s="5"/>
      <c r="N56" s="5" t="s">
        <v>1264</v>
      </c>
      <c r="O56" s="21" t="n">
        <v>1</v>
      </c>
      <c r="P56" s="5" t="s">
        <v>1683</v>
      </c>
      <c r="Q56" s="5" t="s">
        <v>1902</v>
      </c>
    </row>
    <row r="57" customFormat="false" ht="297" hidden="false" customHeight="false" outlineLevel="0" collapsed="false">
      <c r="A57" s="21" t="s">
        <v>1903</v>
      </c>
      <c r="B57" s="21" t="s">
        <v>1280</v>
      </c>
      <c r="C57" s="21" t="n">
        <v>1</v>
      </c>
      <c r="D57" s="5" t="s">
        <v>1184</v>
      </c>
      <c r="E57" s="5" t="s">
        <v>1185</v>
      </c>
      <c r="F57" s="21" t="s">
        <v>344</v>
      </c>
      <c r="G57" s="21" t="s">
        <v>385</v>
      </c>
      <c r="H57" s="5" t="s">
        <v>276</v>
      </c>
      <c r="I57" s="21" t="s">
        <v>1186</v>
      </c>
      <c r="J57" s="21" t="s">
        <v>194</v>
      </c>
      <c r="K57" s="21" t="s">
        <v>218</v>
      </c>
      <c r="L57" s="21" t="s">
        <v>1678</v>
      </c>
      <c r="M57" s="5"/>
      <c r="N57" s="5" t="s">
        <v>1682</v>
      </c>
      <c r="O57" s="21" t="n">
        <v>1</v>
      </c>
      <c r="P57" s="5" t="s">
        <v>1797</v>
      </c>
      <c r="Q57" s="5" t="s">
        <v>1187</v>
      </c>
    </row>
    <row r="58" customFormat="false" ht="283.55" hidden="false" customHeight="false" outlineLevel="0" collapsed="false">
      <c r="A58" s="21" t="s">
        <v>1904</v>
      </c>
      <c r="B58" s="21" t="s">
        <v>1685</v>
      </c>
      <c r="C58" s="21" t="n">
        <v>2</v>
      </c>
      <c r="D58" s="5" t="s">
        <v>1905</v>
      </c>
      <c r="E58" s="5" t="s">
        <v>1906</v>
      </c>
      <c r="F58" s="21" t="s">
        <v>355</v>
      </c>
      <c r="G58" s="21" t="s">
        <v>385</v>
      </c>
      <c r="H58" s="5" t="s">
        <v>732</v>
      </c>
      <c r="I58" s="21" t="s">
        <v>1907</v>
      </c>
      <c r="J58" s="21" t="s">
        <v>218</v>
      </c>
      <c r="K58" s="21" t="s">
        <v>218</v>
      </c>
      <c r="L58" s="21" t="s">
        <v>1263</v>
      </c>
      <c r="M58" s="5"/>
      <c r="N58" s="5" t="s">
        <v>1264</v>
      </c>
      <c r="O58" s="21" t="n">
        <v>2</v>
      </c>
      <c r="P58" s="5" t="s">
        <v>1686</v>
      </c>
      <c r="Q58" s="5" t="s">
        <v>1908</v>
      </c>
    </row>
    <row r="59" customFormat="false" ht="323.85" hidden="false" customHeight="false" outlineLevel="0" collapsed="false">
      <c r="A59" s="21" t="s">
        <v>1909</v>
      </c>
      <c r="B59" s="21" t="s">
        <v>1259</v>
      </c>
      <c r="C59" s="21" t="n">
        <v>1</v>
      </c>
      <c r="D59" s="5" t="s">
        <v>1667</v>
      </c>
      <c r="E59" s="5" t="s">
        <v>1668</v>
      </c>
      <c r="F59" s="21" t="s">
        <v>355</v>
      </c>
      <c r="G59" s="21" t="s">
        <v>385</v>
      </c>
      <c r="H59" s="5" t="s">
        <v>575</v>
      </c>
      <c r="I59" s="21" t="s">
        <v>1669</v>
      </c>
      <c r="J59" s="21" t="s">
        <v>218</v>
      </c>
      <c r="K59" s="21" t="s">
        <v>194</v>
      </c>
      <c r="L59" s="21" t="s">
        <v>1678</v>
      </c>
      <c r="M59" s="5"/>
      <c r="N59" s="5" t="s">
        <v>1679</v>
      </c>
      <c r="O59" s="21" t="n">
        <v>1</v>
      </c>
      <c r="P59" s="5" t="s">
        <v>1680</v>
      </c>
      <c r="Q59" s="5" t="s">
        <v>1670</v>
      </c>
    </row>
    <row r="60" customFormat="false" ht="417.9" hidden="false" customHeight="false" outlineLevel="0" collapsed="false">
      <c r="A60" s="21" t="s">
        <v>1910</v>
      </c>
      <c r="B60" s="21" t="s">
        <v>1259</v>
      </c>
      <c r="C60" s="21" t="n">
        <v>1</v>
      </c>
      <c r="D60" s="5" t="s">
        <v>1911</v>
      </c>
      <c r="E60" s="5" t="s">
        <v>1912</v>
      </c>
      <c r="F60" s="21" t="s">
        <v>355</v>
      </c>
      <c r="G60" s="21" t="s">
        <v>385</v>
      </c>
      <c r="H60" s="5" t="s">
        <v>626</v>
      </c>
      <c r="I60" s="21" t="s">
        <v>1913</v>
      </c>
      <c r="J60" s="21" t="s">
        <v>218</v>
      </c>
      <c r="K60" s="21" t="s">
        <v>218</v>
      </c>
      <c r="L60" s="21" t="s">
        <v>1263</v>
      </c>
      <c r="M60" s="5"/>
      <c r="N60" s="5" t="s">
        <v>1264</v>
      </c>
      <c r="O60" s="21" t="n">
        <v>1</v>
      </c>
      <c r="P60" s="5" t="s">
        <v>1680</v>
      </c>
      <c r="Q60" s="5" t="s">
        <v>1914</v>
      </c>
    </row>
    <row r="61" customFormat="false" ht="283.55" hidden="false" customHeight="false" outlineLevel="0" collapsed="false">
      <c r="A61" s="21" t="s">
        <v>1915</v>
      </c>
      <c r="B61" s="21" t="s">
        <v>1509</v>
      </c>
      <c r="C61" s="21" t="n">
        <v>1</v>
      </c>
      <c r="D61" s="5" t="s">
        <v>1916</v>
      </c>
      <c r="E61" s="5" t="s">
        <v>1917</v>
      </c>
      <c r="F61" s="21" t="s">
        <v>355</v>
      </c>
      <c r="G61" s="21" t="s">
        <v>385</v>
      </c>
      <c r="H61" s="5" t="s">
        <v>1918</v>
      </c>
      <c r="I61" s="21" t="s">
        <v>1919</v>
      </c>
      <c r="J61" s="21" t="s">
        <v>218</v>
      </c>
      <c r="K61" s="21" t="s">
        <v>218</v>
      </c>
      <c r="L61" s="21" t="s">
        <v>1263</v>
      </c>
      <c r="M61" s="5" t="s">
        <v>1920</v>
      </c>
      <c r="N61" s="5" t="s">
        <v>1738</v>
      </c>
      <c r="O61" s="21" t="n">
        <v>1</v>
      </c>
      <c r="P61" s="5" t="s">
        <v>1702</v>
      </c>
      <c r="Q61" s="5" t="s">
        <v>1921</v>
      </c>
    </row>
    <row r="62" customFormat="false" ht="471.6" hidden="false" customHeight="false" outlineLevel="0" collapsed="false">
      <c r="A62" s="21" t="s">
        <v>1922</v>
      </c>
      <c r="B62" s="21" t="s">
        <v>1259</v>
      </c>
      <c r="C62" s="21" t="n">
        <v>1</v>
      </c>
      <c r="D62" s="5" t="s">
        <v>1923</v>
      </c>
      <c r="E62" s="5" t="s">
        <v>1924</v>
      </c>
      <c r="F62" s="21" t="s">
        <v>355</v>
      </c>
      <c r="G62" s="21" t="s">
        <v>385</v>
      </c>
      <c r="H62" s="5" t="s">
        <v>523</v>
      </c>
      <c r="I62" s="21" t="s">
        <v>1925</v>
      </c>
      <c r="J62" s="21" t="s">
        <v>218</v>
      </c>
      <c r="K62" s="21" t="s">
        <v>218</v>
      </c>
      <c r="L62" s="21" t="s">
        <v>1263</v>
      </c>
      <c r="M62" s="5"/>
      <c r="N62" s="5" t="s">
        <v>1264</v>
      </c>
      <c r="O62" s="21" t="n">
        <v>1</v>
      </c>
      <c r="P62" s="5" t="s">
        <v>1680</v>
      </c>
      <c r="Q62" s="5" t="s">
        <v>1926</v>
      </c>
    </row>
  </sheetData>
  <autoFilter ref="A3:Q6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5"/>
    <col collapsed="false" customWidth="true" hidden="false" outlineLevel="0" max="2" min="2" style="0" width="25"/>
    <col collapsed="false" customWidth="true" hidden="false" outlineLevel="0" max="3" min="3" style="0" width="9"/>
    <col collapsed="false" customWidth="true" hidden="false" outlineLevel="0" max="4" min="4" style="0" width="26"/>
    <col collapsed="false" customWidth="true" hidden="false" outlineLevel="0" max="5" min="5" style="0" width="31"/>
    <col collapsed="false" customWidth="true" hidden="false" outlineLevel="0" max="6" min="6" style="0" width="70"/>
    <col collapsed="false" customWidth="true" hidden="false" outlineLevel="0" max="7" min="7" style="0" width="28"/>
  </cols>
  <sheetData>
    <row r="1" customFormat="false" ht="30" hidden="false" customHeight="true" outlineLevel="0" collapsed="false">
      <c r="A1" s="1" t="s">
        <v>1927</v>
      </c>
      <c r="B1" s="1"/>
      <c r="C1" s="1"/>
      <c r="D1" s="1"/>
      <c r="E1" s="1"/>
      <c r="F1" s="1"/>
      <c r="G1" s="1"/>
    </row>
    <row r="3" customFormat="false" ht="15" hidden="false" customHeight="false" outlineLevel="0" collapsed="false">
      <c r="A3" s="15" t="s">
        <v>178</v>
      </c>
      <c r="B3" s="15" t="s">
        <v>179</v>
      </c>
      <c r="C3" s="15" t="s">
        <v>180</v>
      </c>
      <c r="D3" s="15" t="s">
        <v>182</v>
      </c>
      <c r="E3" s="15" t="s">
        <v>29</v>
      </c>
      <c r="F3" s="15" t="s">
        <v>1257</v>
      </c>
      <c r="G3" s="15" t="s">
        <v>1928</v>
      </c>
    </row>
    <row r="4" customFormat="false" ht="28.35" hidden="false" customHeight="false" outlineLevel="0" collapsed="false">
      <c r="A4" s="5" t="s">
        <v>1206</v>
      </c>
      <c r="B4" s="5" t="s">
        <v>1929</v>
      </c>
      <c r="C4" s="5" t="n">
        <v>2023</v>
      </c>
      <c r="D4" s="5" t="s">
        <v>1208</v>
      </c>
      <c r="E4" s="5" t="s">
        <v>1930</v>
      </c>
      <c r="F4" s="5" t="s">
        <v>1209</v>
      </c>
      <c r="G4" s="5" t="s">
        <v>941</v>
      </c>
    </row>
    <row r="5" customFormat="false" ht="15" hidden="false" customHeight="false" outlineLevel="0" collapsed="false">
      <c r="A5" s="5" t="s">
        <v>977</v>
      </c>
      <c r="B5" s="5" t="s">
        <v>1931</v>
      </c>
      <c r="C5" s="5" t="n">
        <v>2023</v>
      </c>
      <c r="D5" s="5" t="s">
        <v>979</v>
      </c>
      <c r="E5" s="5" t="s">
        <v>1930</v>
      </c>
      <c r="F5" s="5" t="s">
        <v>1932</v>
      </c>
      <c r="G5" s="5" t="s">
        <v>1263</v>
      </c>
    </row>
    <row r="6" customFormat="false" ht="28.35" hidden="false" customHeight="false" outlineLevel="0" collapsed="false">
      <c r="A6" s="5" t="s">
        <v>1933</v>
      </c>
      <c r="B6" s="5" t="s">
        <v>1931</v>
      </c>
      <c r="C6" s="5" t="n">
        <v>2024</v>
      </c>
      <c r="D6" s="5" t="s">
        <v>1934</v>
      </c>
      <c r="E6" s="5" t="s">
        <v>1935</v>
      </c>
      <c r="F6" s="5" t="s">
        <v>1936</v>
      </c>
      <c r="G6" s="5" t="s">
        <v>1263</v>
      </c>
    </row>
    <row r="7" customFormat="false" ht="28.35" hidden="false" customHeight="false" outlineLevel="0" collapsed="false">
      <c r="A7" s="5" t="s">
        <v>938</v>
      </c>
      <c r="B7" s="5" t="s">
        <v>1937</v>
      </c>
      <c r="C7" s="5" t="n">
        <v>2025</v>
      </c>
      <c r="D7" s="5" t="s">
        <v>940</v>
      </c>
      <c r="E7" s="5" t="s">
        <v>1930</v>
      </c>
      <c r="F7" s="5" t="s">
        <v>1938</v>
      </c>
      <c r="G7" s="5" t="s">
        <v>941</v>
      </c>
    </row>
    <row r="8" customFormat="false" ht="28.35" hidden="false" customHeight="false" outlineLevel="0" collapsed="false">
      <c r="A8" s="5" t="s">
        <v>424</v>
      </c>
      <c r="B8" s="5" t="s">
        <v>1939</v>
      </c>
      <c r="C8" s="5" t="n">
        <v>2025</v>
      </c>
      <c r="D8" s="5" t="s">
        <v>426</v>
      </c>
      <c r="E8" s="5" t="s">
        <v>1930</v>
      </c>
      <c r="F8" s="5" t="s">
        <v>1940</v>
      </c>
      <c r="G8" s="5" t="s">
        <v>1263</v>
      </c>
    </row>
    <row r="9" customFormat="false" ht="28.35" hidden="false" customHeight="false" outlineLevel="0" collapsed="false">
      <c r="A9" s="5" t="s">
        <v>1582</v>
      </c>
      <c r="B9" s="5" t="s">
        <v>1941</v>
      </c>
      <c r="C9" s="5" t="n">
        <v>2026</v>
      </c>
      <c r="D9" s="5" t="s">
        <v>1584</v>
      </c>
      <c r="E9" s="5" t="s">
        <v>1942</v>
      </c>
      <c r="F9" s="5" t="s">
        <v>1585</v>
      </c>
      <c r="G9" s="5" t="s">
        <v>1943</v>
      </c>
    </row>
    <row r="10" customFormat="false" ht="28.35" hidden="false" customHeight="false" outlineLevel="0" collapsed="false">
      <c r="A10" s="5" t="s">
        <v>1734</v>
      </c>
      <c r="B10" s="5" t="s">
        <v>1944</v>
      </c>
      <c r="C10" s="5" t="n">
        <v>2026</v>
      </c>
      <c r="D10" s="5" t="s">
        <v>1736</v>
      </c>
      <c r="E10" s="5" t="s">
        <v>46</v>
      </c>
      <c r="F10" s="5" t="s">
        <v>1737</v>
      </c>
      <c r="G10" s="5" t="s">
        <v>1263</v>
      </c>
    </row>
    <row r="11" customFormat="false" ht="28.35" hidden="false" customHeight="false" outlineLevel="0" collapsed="false">
      <c r="A11" s="5" t="s">
        <v>1813</v>
      </c>
      <c r="B11" s="5" t="s">
        <v>1945</v>
      </c>
      <c r="C11" s="5" t="n">
        <v>2026</v>
      </c>
      <c r="D11" s="5" t="s">
        <v>1815</v>
      </c>
      <c r="E11" s="5" t="s">
        <v>46</v>
      </c>
      <c r="F11" s="5" t="s">
        <v>1816</v>
      </c>
      <c r="G11" s="5" t="s">
        <v>1946</v>
      </c>
    </row>
    <row r="12" customFormat="false" ht="28.35" hidden="false" customHeight="false" outlineLevel="0" collapsed="false">
      <c r="A12" s="5" t="s">
        <v>1865</v>
      </c>
      <c r="B12" s="5" t="s">
        <v>1947</v>
      </c>
      <c r="C12" s="5" t="n">
        <v>2026</v>
      </c>
      <c r="D12" s="5" t="s">
        <v>1867</v>
      </c>
      <c r="E12" s="5" t="s">
        <v>46</v>
      </c>
      <c r="F12" s="5" t="s">
        <v>1868</v>
      </c>
      <c r="G12" s="5" t="s">
        <v>1263</v>
      </c>
    </row>
    <row r="13" customFormat="false" ht="41.75" hidden="false" customHeight="false" outlineLevel="0" collapsed="false">
      <c r="A13" s="5" t="s">
        <v>1916</v>
      </c>
      <c r="B13" s="5" t="s">
        <v>1948</v>
      </c>
      <c r="C13" s="5" t="n">
        <v>2026</v>
      </c>
      <c r="D13" s="5" t="s">
        <v>1919</v>
      </c>
      <c r="E13" s="5" t="s">
        <v>46</v>
      </c>
      <c r="F13" s="5" t="s">
        <v>1920</v>
      </c>
      <c r="G13" s="5" t="s">
        <v>1263</v>
      </c>
    </row>
    <row r="14" customFormat="false" ht="15" hidden="false" customHeight="false" outlineLevel="0" collapsed="false">
      <c r="A14" s="0" t="s">
        <v>1949</v>
      </c>
      <c r="B14" s="0" t="s">
        <v>1950</v>
      </c>
      <c r="C14" s="0" t="n">
        <v>2026</v>
      </c>
      <c r="E14" s="0" t="s">
        <v>1951</v>
      </c>
      <c r="F14" s="0" t="s">
        <v>1952</v>
      </c>
      <c r="G14" s="0" t="s">
        <v>1263</v>
      </c>
    </row>
  </sheetData>
  <mergeCells count="1">
    <mergeCell ref="A1:G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8"/>
    <col collapsed="false" customWidth="true" hidden="false" outlineLevel="0" max="2" min="2" style="0" width="25"/>
    <col collapsed="false" customWidth="true" hidden="false" outlineLevel="0" max="3" min="3" style="0" width="9"/>
    <col collapsed="false" customWidth="true" hidden="false" outlineLevel="0" max="4" min="4" style="0" width="27"/>
    <col collapsed="false" customWidth="true" hidden="false" outlineLevel="0" max="5" min="5" style="0" width="35"/>
    <col collapsed="false" customWidth="true" hidden="false" outlineLevel="0" max="6" min="6" style="0" width="70"/>
  </cols>
  <sheetData>
    <row r="1" customFormat="false" ht="30" hidden="false" customHeight="true" outlineLevel="0" collapsed="false">
      <c r="A1" s="1" t="s">
        <v>1953</v>
      </c>
      <c r="B1" s="1"/>
      <c r="C1" s="1"/>
      <c r="D1" s="1"/>
      <c r="E1" s="1"/>
      <c r="F1" s="1"/>
    </row>
    <row r="3" customFormat="false" ht="15" hidden="false" customHeight="false" outlineLevel="0" collapsed="false">
      <c r="A3" s="15" t="s">
        <v>178</v>
      </c>
      <c r="B3" s="15" t="s">
        <v>179</v>
      </c>
      <c r="C3" s="15" t="s">
        <v>180</v>
      </c>
      <c r="D3" s="15" t="s">
        <v>182</v>
      </c>
      <c r="E3" s="15" t="s">
        <v>1954</v>
      </c>
      <c r="F3" s="15" t="s">
        <v>1928</v>
      </c>
    </row>
    <row r="4" customFormat="false" ht="28.35" hidden="false" customHeight="false" outlineLevel="0" collapsed="false">
      <c r="A4" s="5" t="s">
        <v>1206</v>
      </c>
      <c r="B4" s="5" t="s">
        <v>1929</v>
      </c>
      <c r="C4" s="5" t="n">
        <v>2023</v>
      </c>
      <c r="D4" s="5" t="s">
        <v>1208</v>
      </c>
      <c r="E4" s="5" t="s">
        <v>1955</v>
      </c>
      <c r="F4" s="5" t="s">
        <v>1956</v>
      </c>
    </row>
    <row r="5" customFormat="false" ht="28.35" hidden="false" customHeight="false" outlineLevel="0" collapsed="false">
      <c r="A5" s="5" t="s">
        <v>938</v>
      </c>
      <c r="B5" s="5" t="s">
        <v>1937</v>
      </c>
      <c r="C5" s="5" t="n">
        <v>2025</v>
      </c>
      <c r="D5" s="5" t="s">
        <v>940</v>
      </c>
      <c r="E5" s="5" t="s">
        <v>1957</v>
      </c>
      <c r="F5" s="5" t="s">
        <v>1958</v>
      </c>
    </row>
    <row r="6" customFormat="false" ht="28.35" hidden="false" customHeight="false" outlineLevel="0" collapsed="false">
      <c r="A6" s="5" t="s">
        <v>1332</v>
      </c>
      <c r="B6" s="5" t="s">
        <v>1959</v>
      </c>
      <c r="C6" s="5" t="n">
        <v>2020</v>
      </c>
      <c r="D6" s="5" t="s">
        <v>1960</v>
      </c>
      <c r="E6" s="5" t="s">
        <v>1961</v>
      </c>
      <c r="F6" s="5" t="s">
        <v>1962</v>
      </c>
    </row>
    <row r="7" customFormat="false" ht="28.35" hidden="false" customHeight="false" outlineLevel="0" collapsed="false">
      <c r="A7" s="5" t="s">
        <v>1655</v>
      </c>
      <c r="B7" s="5" t="s">
        <v>1963</v>
      </c>
      <c r="C7" s="5" t="n">
        <v>2024</v>
      </c>
      <c r="D7" s="5" t="s">
        <v>1964</v>
      </c>
      <c r="E7" s="5" t="s">
        <v>1965</v>
      </c>
      <c r="F7" s="5" t="s">
        <v>1966</v>
      </c>
    </row>
    <row r="8" customFormat="false" ht="28.35" hidden="false" customHeight="false" outlineLevel="0" collapsed="false">
      <c r="A8" s="5" t="s">
        <v>1967</v>
      </c>
      <c r="B8" s="5" t="s">
        <v>1968</v>
      </c>
      <c r="C8" s="5" t="n">
        <v>2026</v>
      </c>
      <c r="D8" s="5" t="s">
        <v>1969</v>
      </c>
      <c r="E8" s="5" t="s">
        <v>1970</v>
      </c>
      <c r="F8" s="5" t="s">
        <v>1971</v>
      </c>
    </row>
    <row r="9" customFormat="false" ht="15" hidden="false" customHeight="false" outlineLevel="0" collapsed="false">
      <c r="A9" s="0" t="s">
        <v>1582</v>
      </c>
      <c r="B9" s="0" t="s">
        <v>1941</v>
      </c>
      <c r="C9" s="0" t="n">
        <v>2026</v>
      </c>
      <c r="D9" s="0" t="s">
        <v>1584</v>
      </c>
      <c r="E9" s="0" t="s">
        <v>1972</v>
      </c>
      <c r="F9" s="0" t="s">
        <v>1973</v>
      </c>
    </row>
  </sheetData>
  <mergeCells count="1">
    <mergeCell ref="A1:F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25"/>
    <col collapsed="false" customWidth="true" hidden="false" outlineLevel="0" max="3" min="3" style="0" width="21"/>
    <col collapsed="false" customWidth="true" hidden="false" outlineLevel="0" max="4" min="4" style="0" width="14"/>
    <col collapsed="false" customWidth="true" hidden="false" outlineLevel="0" max="5" min="5" style="0" width="52"/>
    <col collapsed="false" customWidth="true" hidden="false" outlineLevel="0" max="6" min="6" style="0" width="11"/>
    <col collapsed="false" customWidth="true" hidden="false" outlineLevel="0" max="7" min="7" style="0" width="10"/>
    <col collapsed="false" customWidth="true" hidden="false" outlineLevel="0" max="8" min="8" style="0" width="62"/>
    <col collapsed="false" customWidth="true" hidden="false" outlineLevel="0" max="9" min="9" style="0" width="45"/>
    <col collapsed="false" customWidth="true" hidden="false" outlineLevel="0" max="10" min="10" style="0" width="9"/>
    <col collapsed="false" customWidth="true" hidden="false" outlineLevel="0" max="11" min="11" style="0" width="31"/>
    <col collapsed="false" customWidth="true" hidden="false" outlineLevel="0" max="12" min="12" style="0" width="26"/>
    <col collapsed="false" customWidth="true" hidden="false" outlineLevel="0" max="13" min="13" style="0" width="45"/>
    <col collapsed="false" customWidth="true" hidden="false" outlineLevel="0" max="14" min="14" style="0" width="95"/>
  </cols>
  <sheetData>
    <row r="1" customFormat="false" ht="30" hidden="false" customHeight="true" outlineLevel="0" collapsed="false">
      <c r="A1" s="1" t="s">
        <v>1974</v>
      </c>
      <c r="B1" s="1"/>
      <c r="C1" s="1"/>
      <c r="D1" s="1"/>
      <c r="E1" s="1"/>
      <c r="F1" s="1"/>
      <c r="G1" s="1"/>
      <c r="H1" s="1"/>
      <c r="I1" s="1"/>
      <c r="J1" s="1"/>
      <c r="K1" s="1"/>
      <c r="L1" s="1"/>
      <c r="M1" s="1"/>
      <c r="N1" s="1"/>
    </row>
    <row r="3" customFormat="false" ht="15" hidden="false" customHeight="false" outlineLevel="0" collapsed="false">
      <c r="A3" s="15" t="s">
        <v>1975</v>
      </c>
      <c r="B3" s="15" t="s">
        <v>29</v>
      </c>
      <c r="C3" s="15" t="s">
        <v>91</v>
      </c>
      <c r="D3" s="15" t="s">
        <v>63</v>
      </c>
      <c r="E3" s="15" t="s">
        <v>1976</v>
      </c>
      <c r="F3" s="15" t="s">
        <v>1977</v>
      </c>
      <c r="G3" s="15" t="s">
        <v>375</v>
      </c>
      <c r="H3" s="15" t="s">
        <v>178</v>
      </c>
      <c r="I3" s="15" t="s">
        <v>179</v>
      </c>
      <c r="J3" s="15" t="s">
        <v>180</v>
      </c>
      <c r="K3" s="15" t="s">
        <v>181</v>
      </c>
      <c r="L3" s="15" t="s">
        <v>182</v>
      </c>
      <c r="M3" s="15" t="s">
        <v>1978</v>
      </c>
      <c r="N3" s="15" t="s">
        <v>381</v>
      </c>
    </row>
    <row r="4" customFormat="false" ht="2740.25" hidden="false" customHeight="false" outlineLevel="0" collapsed="false">
      <c r="A4" s="5" t="s">
        <v>1979</v>
      </c>
      <c r="B4" s="5" t="s">
        <v>39</v>
      </c>
      <c r="C4" s="5" t="s">
        <v>69</v>
      </c>
      <c r="D4" s="16" t="n">
        <v>46197</v>
      </c>
      <c r="E4" s="5" t="s">
        <v>392</v>
      </c>
      <c r="F4" s="5" t="n">
        <v>1</v>
      </c>
      <c r="G4" s="5" t="s">
        <v>385</v>
      </c>
      <c r="H4" s="5" t="s">
        <v>849</v>
      </c>
      <c r="I4" s="5" t="s">
        <v>850</v>
      </c>
      <c r="J4" s="5" t="n">
        <v>2023</v>
      </c>
      <c r="K4" s="5" t="s">
        <v>453</v>
      </c>
      <c r="L4" s="5" t="s">
        <v>851</v>
      </c>
      <c r="M4" s="5" t="s">
        <v>1980</v>
      </c>
      <c r="N4" s="5"/>
    </row>
    <row r="5" customFormat="false" ht="28.35" hidden="false" customHeight="false" outlineLevel="0" collapsed="false">
      <c r="A5" s="5" t="s">
        <v>1981</v>
      </c>
      <c r="B5" s="5" t="s">
        <v>39</v>
      </c>
      <c r="C5" s="5" t="s">
        <v>69</v>
      </c>
      <c r="D5" s="16" t="n">
        <v>46197</v>
      </c>
      <c r="E5" s="5" t="s">
        <v>392</v>
      </c>
      <c r="F5" s="5" t="n">
        <v>2</v>
      </c>
      <c r="G5" s="5" t="s">
        <v>385</v>
      </c>
      <c r="H5" s="5" t="s">
        <v>1179</v>
      </c>
      <c r="I5" s="5" t="s">
        <v>1180</v>
      </c>
      <c r="J5" s="5" t="n">
        <v>2023</v>
      </c>
      <c r="K5" s="5" t="s">
        <v>1181</v>
      </c>
      <c r="L5" s="5" t="s">
        <v>1182</v>
      </c>
      <c r="M5" s="5"/>
      <c r="N5" s="5"/>
    </row>
    <row r="6" customFormat="false" ht="41.75" hidden="false" customHeight="false" outlineLevel="0" collapsed="false">
      <c r="A6" s="5" t="s">
        <v>1982</v>
      </c>
      <c r="B6" s="5" t="s">
        <v>39</v>
      </c>
      <c r="C6" s="5" t="s">
        <v>69</v>
      </c>
      <c r="D6" s="16" t="n">
        <v>46197</v>
      </c>
      <c r="E6" s="5" t="s">
        <v>392</v>
      </c>
      <c r="F6" s="5" t="n">
        <v>3</v>
      </c>
      <c r="G6" s="5" t="s">
        <v>385</v>
      </c>
      <c r="H6" s="5" t="s">
        <v>1223</v>
      </c>
      <c r="I6" s="5" t="s">
        <v>1224</v>
      </c>
      <c r="J6" s="5" t="n">
        <v>2022</v>
      </c>
      <c r="K6" s="5" t="s">
        <v>1225</v>
      </c>
      <c r="L6" s="5" t="s">
        <v>1226</v>
      </c>
      <c r="M6" s="5"/>
      <c r="N6" s="5"/>
    </row>
    <row r="7" customFormat="false" ht="202.95" hidden="false" customHeight="false" outlineLevel="0" collapsed="false">
      <c r="A7" s="5" t="s">
        <v>1983</v>
      </c>
      <c r="B7" s="5" t="s">
        <v>39</v>
      </c>
      <c r="C7" s="5" t="s">
        <v>69</v>
      </c>
      <c r="D7" s="16" t="n">
        <v>46197</v>
      </c>
      <c r="E7" s="5" t="s">
        <v>392</v>
      </c>
      <c r="F7" s="5" t="n">
        <v>4</v>
      </c>
      <c r="G7" s="5" t="s">
        <v>385</v>
      </c>
      <c r="H7" s="5" t="s">
        <v>1228</v>
      </c>
      <c r="I7" s="5" t="s">
        <v>1229</v>
      </c>
      <c r="J7" s="5" t="n">
        <v>2021</v>
      </c>
      <c r="K7" s="5" t="s">
        <v>1230</v>
      </c>
      <c r="L7" s="5" t="s">
        <v>1231</v>
      </c>
      <c r="M7" s="5"/>
      <c r="N7" s="5" t="s">
        <v>1232</v>
      </c>
    </row>
    <row r="8" customFormat="false" ht="135.8" hidden="false" customHeight="false" outlineLevel="0" collapsed="false">
      <c r="A8" s="5" t="s">
        <v>1984</v>
      </c>
      <c r="B8" s="5" t="s">
        <v>39</v>
      </c>
      <c r="C8" s="5" t="s">
        <v>69</v>
      </c>
      <c r="D8" s="16" t="n">
        <v>46197</v>
      </c>
      <c r="E8" s="5" t="s">
        <v>392</v>
      </c>
      <c r="F8" s="5" t="n">
        <v>5</v>
      </c>
      <c r="G8" s="5" t="s">
        <v>385</v>
      </c>
      <c r="H8" s="5" t="s">
        <v>1234</v>
      </c>
      <c r="I8" s="5" t="s">
        <v>1235</v>
      </c>
      <c r="J8" s="5" t="n">
        <v>2021</v>
      </c>
      <c r="K8" s="5" t="s">
        <v>233</v>
      </c>
      <c r="L8" s="5" t="s">
        <v>1236</v>
      </c>
      <c r="M8" s="5"/>
      <c r="N8" s="5" t="s">
        <v>1237</v>
      </c>
    </row>
    <row r="9" customFormat="false" ht="216.4" hidden="false" customHeight="false" outlineLevel="0" collapsed="false">
      <c r="A9" s="5" t="s">
        <v>1985</v>
      </c>
      <c r="B9" s="5" t="s">
        <v>39</v>
      </c>
      <c r="C9" s="5" t="s">
        <v>69</v>
      </c>
      <c r="D9" s="16" t="n">
        <v>46197</v>
      </c>
      <c r="E9" s="5" t="s">
        <v>392</v>
      </c>
      <c r="F9" s="5" t="n">
        <v>6</v>
      </c>
      <c r="G9" s="5" t="s">
        <v>385</v>
      </c>
      <c r="H9" s="5" t="s">
        <v>262</v>
      </c>
      <c r="I9" s="5" t="s">
        <v>263</v>
      </c>
      <c r="J9" s="5" t="n">
        <v>2024</v>
      </c>
      <c r="K9" s="5" t="s">
        <v>223</v>
      </c>
      <c r="L9" s="5" t="s">
        <v>264</v>
      </c>
      <c r="M9" s="5" t="s">
        <v>1986</v>
      </c>
      <c r="N9" s="5" t="s">
        <v>1078</v>
      </c>
    </row>
    <row r="10" customFormat="false" ht="122.35" hidden="false" customHeight="false" outlineLevel="0" collapsed="false">
      <c r="A10" s="5" t="s">
        <v>1987</v>
      </c>
      <c r="B10" s="5" t="s">
        <v>39</v>
      </c>
      <c r="C10" s="5" t="s">
        <v>69</v>
      </c>
      <c r="D10" s="16" t="n">
        <v>46197</v>
      </c>
      <c r="E10" s="5" t="s">
        <v>392</v>
      </c>
      <c r="F10" s="5" t="n">
        <v>7</v>
      </c>
      <c r="G10" s="5" t="s">
        <v>385</v>
      </c>
      <c r="H10" s="5" t="s">
        <v>1167</v>
      </c>
      <c r="I10" s="5" t="s">
        <v>1168</v>
      </c>
      <c r="J10" s="5" t="n">
        <v>2018</v>
      </c>
      <c r="K10" s="5" t="s">
        <v>673</v>
      </c>
      <c r="L10" s="5" t="s">
        <v>1169</v>
      </c>
      <c r="M10" s="5" t="s">
        <v>1988</v>
      </c>
      <c r="N10" s="5" t="s">
        <v>1170</v>
      </c>
    </row>
    <row r="11" customFormat="false" ht="162.65" hidden="false" customHeight="false" outlineLevel="0" collapsed="false">
      <c r="A11" s="5" t="s">
        <v>1989</v>
      </c>
      <c r="B11" s="5" t="s">
        <v>39</v>
      </c>
      <c r="C11" s="5" t="s">
        <v>69</v>
      </c>
      <c r="D11" s="16" t="n">
        <v>46197</v>
      </c>
      <c r="E11" s="5" t="s">
        <v>392</v>
      </c>
      <c r="F11" s="5" t="n">
        <v>8</v>
      </c>
      <c r="G11" s="5" t="s">
        <v>385</v>
      </c>
      <c r="H11" s="5" t="s">
        <v>1133</v>
      </c>
      <c r="I11" s="5" t="s">
        <v>1134</v>
      </c>
      <c r="J11" s="5" t="n">
        <v>2024</v>
      </c>
      <c r="K11" s="5" t="s">
        <v>1135</v>
      </c>
      <c r="L11" s="5" t="s">
        <v>1136</v>
      </c>
      <c r="M11" s="5"/>
      <c r="N11" s="5" t="s">
        <v>1137</v>
      </c>
    </row>
    <row r="12" customFormat="false" ht="149.25" hidden="false" customHeight="false" outlineLevel="0" collapsed="false">
      <c r="A12" s="5" t="s">
        <v>1990</v>
      </c>
      <c r="B12" s="5" t="s">
        <v>39</v>
      </c>
      <c r="C12" s="5" t="s">
        <v>69</v>
      </c>
      <c r="D12" s="16" t="n">
        <v>46197</v>
      </c>
      <c r="E12" s="5" t="s">
        <v>392</v>
      </c>
      <c r="F12" s="5" t="n">
        <v>9</v>
      </c>
      <c r="G12" s="5" t="s">
        <v>385</v>
      </c>
      <c r="H12" s="5" t="s">
        <v>231</v>
      </c>
      <c r="I12" s="5" t="s">
        <v>232</v>
      </c>
      <c r="J12" s="5" t="n">
        <v>2022</v>
      </c>
      <c r="K12" s="5" t="s">
        <v>233</v>
      </c>
      <c r="L12" s="5" t="s">
        <v>234</v>
      </c>
      <c r="M12" s="5"/>
      <c r="N12" s="5" t="s">
        <v>1144</v>
      </c>
    </row>
    <row r="13" customFormat="false" ht="135.8" hidden="false" customHeight="false" outlineLevel="0" collapsed="false">
      <c r="A13" s="5" t="s">
        <v>1991</v>
      </c>
      <c r="B13" s="5" t="s">
        <v>39</v>
      </c>
      <c r="C13" s="5" t="s">
        <v>69</v>
      </c>
      <c r="D13" s="16" t="n">
        <v>46197</v>
      </c>
      <c r="E13" s="5" t="s">
        <v>392</v>
      </c>
      <c r="F13" s="5" t="n">
        <v>10</v>
      </c>
      <c r="G13" s="5" t="s">
        <v>385</v>
      </c>
      <c r="H13" s="5" t="s">
        <v>1059</v>
      </c>
      <c r="I13" s="5" t="s">
        <v>1060</v>
      </c>
      <c r="J13" s="5" t="n">
        <v>2022</v>
      </c>
      <c r="K13" s="5" t="s">
        <v>1061</v>
      </c>
      <c r="L13" s="5" t="s">
        <v>1062</v>
      </c>
      <c r="M13" s="5"/>
      <c r="N13" s="5" t="s">
        <v>1063</v>
      </c>
    </row>
    <row r="14" customFormat="false" ht="270.1" hidden="false" customHeight="false" outlineLevel="0" collapsed="false">
      <c r="A14" s="5" t="s">
        <v>1992</v>
      </c>
      <c r="B14" s="5" t="s">
        <v>39</v>
      </c>
      <c r="C14" s="5" t="s">
        <v>69</v>
      </c>
      <c r="D14" s="16" t="n">
        <v>46197</v>
      </c>
      <c r="E14" s="5" t="s">
        <v>392</v>
      </c>
      <c r="F14" s="5" t="n">
        <v>11</v>
      </c>
      <c r="G14" s="5" t="s">
        <v>385</v>
      </c>
      <c r="H14" s="5" t="s">
        <v>1139</v>
      </c>
      <c r="I14" s="5" t="s">
        <v>1140</v>
      </c>
      <c r="J14" s="5" t="n">
        <v>2023</v>
      </c>
      <c r="K14" s="5" t="s">
        <v>233</v>
      </c>
      <c r="L14" s="5" t="s">
        <v>1141</v>
      </c>
      <c r="M14" s="5"/>
      <c r="N14" s="5" t="s">
        <v>1142</v>
      </c>
    </row>
    <row r="15" customFormat="false" ht="202.95" hidden="false" customHeight="false" outlineLevel="0" collapsed="false">
      <c r="A15" s="5" t="s">
        <v>1993</v>
      </c>
      <c r="B15" s="5" t="s">
        <v>39</v>
      </c>
      <c r="C15" s="5" t="s">
        <v>69</v>
      </c>
      <c r="D15" s="16" t="n">
        <v>46197</v>
      </c>
      <c r="E15" s="5" t="s">
        <v>392</v>
      </c>
      <c r="F15" s="5" t="n">
        <v>12</v>
      </c>
      <c r="G15" s="5" t="s">
        <v>385</v>
      </c>
      <c r="H15" s="5" t="s">
        <v>977</v>
      </c>
      <c r="I15" s="5" t="s">
        <v>978</v>
      </c>
      <c r="J15" s="5" t="n">
        <v>2023</v>
      </c>
      <c r="K15" s="5" t="s">
        <v>233</v>
      </c>
      <c r="L15" s="5" t="s">
        <v>979</v>
      </c>
      <c r="M15" s="5"/>
      <c r="N15" s="5" t="s">
        <v>982</v>
      </c>
    </row>
    <row r="16" customFormat="false" ht="149.25" hidden="false" customHeight="false" outlineLevel="0" collapsed="false">
      <c r="A16" s="5" t="s">
        <v>1994</v>
      </c>
      <c r="B16" s="5" t="s">
        <v>39</v>
      </c>
      <c r="C16" s="5" t="s">
        <v>69</v>
      </c>
      <c r="D16" s="16" t="n">
        <v>46197</v>
      </c>
      <c r="E16" s="5" t="s">
        <v>392</v>
      </c>
      <c r="F16" s="5" t="n">
        <v>13</v>
      </c>
      <c r="G16" s="5" t="s">
        <v>385</v>
      </c>
      <c r="H16" s="5" t="s">
        <v>1128</v>
      </c>
      <c r="I16" s="5" t="s">
        <v>1129</v>
      </c>
      <c r="J16" s="5" t="n">
        <v>2024</v>
      </c>
      <c r="K16" s="5" t="s">
        <v>507</v>
      </c>
      <c r="L16" s="5" t="s">
        <v>1130</v>
      </c>
      <c r="M16" s="5"/>
      <c r="N16" s="5" t="s">
        <v>1131</v>
      </c>
    </row>
    <row r="17" customFormat="false" ht="176.1" hidden="false" customHeight="false" outlineLevel="0" collapsed="false">
      <c r="A17" s="5" t="s">
        <v>1995</v>
      </c>
      <c r="B17" s="5" t="s">
        <v>39</v>
      </c>
      <c r="C17" s="5" t="s">
        <v>69</v>
      </c>
      <c r="D17" s="16" t="n">
        <v>46197</v>
      </c>
      <c r="E17" s="5" t="s">
        <v>392</v>
      </c>
      <c r="F17" s="5" t="n">
        <v>14</v>
      </c>
      <c r="G17" s="5" t="s">
        <v>385</v>
      </c>
      <c r="H17" s="5" t="s">
        <v>1032</v>
      </c>
      <c r="I17" s="5" t="s">
        <v>1033</v>
      </c>
      <c r="J17" s="5" t="n">
        <v>2023</v>
      </c>
      <c r="K17" s="5" t="s">
        <v>580</v>
      </c>
      <c r="L17" s="5" t="s">
        <v>1034</v>
      </c>
      <c r="M17" s="5"/>
      <c r="N17" s="5" t="s">
        <v>1035</v>
      </c>
    </row>
    <row r="18" customFormat="false" ht="162.65" hidden="false" customHeight="false" outlineLevel="0" collapsed="false">
      <c r="A18" s="5" t="s">
        <v>1996</v>
      </c>
      <c r="B18" s="5" t="s">
        <v>39</v>
      </c>
      <c r="C18" s="5" t="s">
        <v>69</v>
      </c>
      <c r="D18" s="16" t="n">
        <v>46197</v>
      </c>
      <c r="E18" s="5" t="s">
        <v>392</v>
      </c>
      <c r="F18" s="5" t="n">
        <v>15</v>
      </c>
      <c r="G18" s="5" t="s">
        <v>385</v>
      </c>
      <c r="H18" s="5" t="s">
        <v>1112</v>
      </c>
      <c r="I18" s="5" t="s">
        <v>1113</v>
      </c>
      <c r="J18" s="5" t="n">
        <v>2024</v>
      </c>
      <c r="K18" s="5" t="s">
        <v>1114</v>
      </c>
      <c r="L18" s="5" t="s">
        <v>1115</v>
      </c>
      <c r="M18" s="5"/>
      <c r="N18" s="5" t="s">
        <v>1116</v>
      </c>
    </row>
    <row r="19" customFormat="false" ht="162.65" hidden="false" customHeight="false" outlineLevel="0" collapsed="false">
      <c r="A19" s="5" t="s">
        <v>1997</v>
      </c>
      <c r="B19" s="5" t="s">
        <v>39</v>
      </c>
      <c r="C19" s="5" t="s">
        <v>69</v>
      </c>
      <c r="D19" s="16" t="n">
        <v>46197</v>
      </c>
      <c r="E19" s="5" t="s">
        <v>392</v>
      </c>
      <c r="F19" s="5" t="n">
        <v>16</v>
      </c>
      <c r="G19" s="5" t="s">
        <v>385</v>
      </c>
      <c r="H19" s="5" t="s">
        <v>1157</v>
      </c>
      <c r="I19" s="5" t="s">
        <v>1158</v>
      </c>
      <c r="J19" s="5" t="n">
        <v>2023</v>
      </c>
      <c r="K19" s="5" t="s">
        <v>233</v>
      </c>
      <c r="L19" s="5" t="s">
        <v>1159</v>
      </c>
      <c r="M19" s="5"/>
      <c r="N19" s="5" t="s">
        <v>1160</v>
      </c>
    </row>
    <row r="20" customFormat="false" ht="202.95" hidden="false" customHeight="false" outlineLevel="0" collapsed="false">
      <c r="A20" s="5" t="s">
        <v>1998</v>
      </c>
      <c r="B20" s="5" t="s">
        <v>39</v>
      </c>
      <c r="C20" s="5" t="s">
        <v>69</v>
      </c>
      <c r="D20" s="16" t="n">
        <v>46197</v>
      </c>
      <c r="E20" s="5" t="s">
        <v>392</v>
      </c>
      <c r="F20" s="5" t="n">
        <v>17</v>
      </c>
      <c r="G20" s="5" t="s">
        <v>385</v>
      </c>
      <c r="H20" s="5" t="s">
        <v>1106</v>
      </c>
      <c r="I20" s="5" t="s">
        <v>1107</v>
      </c>
      <c r="J20" s="5" t="n">
        <v>2022</v>
      </c>
      <c r="K20" s="5" t="s">
        <v>1108</v>
      </c>
      <c r="L20" s="5" t="s">
        <v>1109</v>
      </c>
      <c r="M20" s="5"/>
      <c r="N20" s="5" t="s">
        <v>1110</v>
      </c>
    </row>
    <row r="21" customFormat="false" ht="176.1" hidden="false" customHeight="false" outlineLevel="0" collapsed="false">
      <c r="A21" s="5" t="s">
        <v>1999</v>
      </c>
      <c r="B21" s="5" t="s">
        <v>39</v>
      </c>
      <c r="C21" s="5" t="s">
        <v>69</v>
      </c>
      <c r="D21" s="16" t="n">
        <v>46197</v>
      </c>
      <c r="E21" s="5" t="s">
        <v>392</v>
      </c>
      <c r="F21" s="5" t="n">
        <v>18</v>
      </c>
      <c r="G21" s="5" t="s">
        <v>385</v>
      </c>
      <c r="H21" s="5" t="s">
        <v>962</v>
      </c>
      <c r="I21" s="5" t="s">
        <v>963</v>
      </c>
      <c r="J21" s="5" t="n">
        <v>2021</v>
      </c>
      <c r="K21" s="5" t="s">
        <v>507</v>
      </c>
      <c r="L21" s="5" t="s">
        <v>964</v>
      </c>
      <c r="M21" s="5"/>
      <c r="N21" s="5" t="s">
        <v>965</v>
      </c>
    </row>
    <row r="22" customFormat="false" ht="149.25" hidden="false" customHeight="false" outlineLevel="0" collapsed="false">
      <c r="A22" s="5" t="s">
        <v>2000</v>
      </c>
      <c r="B22" s="5" t="s">
        <v>39</v>
      </c>
      <c r="C22" s="5" t="s">
        <v>69</v>
      </c>
      <c r="D22" s="16" t="n">
        <v>46197</v>
      </c>
      <c r="E22" s="5" t="s">
        <v>392</v>
      </c>
      <c r="F22" s="5" t="n">
        <v>19</v>
      </c>
      <c r="G22" s="5" t="s">
        <v>385</v>
      </c>
      <c r="H22" s="5" t="s">
        <v>1012</v>
      </c>
      <c r="I22" s="5" t="s">
        <v>1013</v>
      </c>
      <c r="J22" s="5" t="n">
        <v>2017</v>
      </c>
      <c r="K22" s="5" t="s">
        <v>459</v>
      </c>
      <c r="L22" s="5" t="s">
        <v>1014</v>
      </c>
      <c r="M22" s="5"/>
      <c r="N22" s="5" t="s">
        <v>1015</v>
      </c>
    </row>
    <row r="23" customFormat="false" ht="310.4" hidden="false" customHeight="false" outlineLevel="0" collapsed="false">
      <c r="A23" s="5" t="s">
        <v>2001</v>
      </c>
      <c r="B23" s="5" t="s">
        <v>39</v>
      </c>
      <c r="C23" s="5" t="s">
        <v>69</v>
      </c>
      <c r="D23" s="16" t="n">
        <v>46197</v>
      </c>
      <c r="E23" s="5" t="s">
        <v>392</v>
      </c>
      <c r="F23" s="5" t="n">
        <v>20</v>
      </c>
      <c r="G23" s="5" t="s">
        <v>385</v>
      </c>
      <c r="H23" s="5" t="s">
        <v>1001</v>
      </c>
      <c r="I23" s="5" t="s">
        <v>1002</v>
      </c>
      <c r="J23" s="5" t="n">
        <v>2024</v>
      </c>
      <c r="K23" s="5" t="s">
        <v>507</v>
      </c>
      <c r="L23" s="5" t="s">
        <v>1003</v>
      </c>
      <c r="M23" s="5"/>
      <c r="N23" s="5" t="s">
        <v>1004</v>
      </c>
    </row>
    <row r="24" customFormat="false" ht="243.25" hidden="false" customHeight="false" outlineLevel="0" collapsed="false">
      <c r="A24" s="5" t="s">
        <v>2002</v>
      </c>
      <c r="B24" s="5" t="s">
        <v>39</v>
      </c>
      <c r="C24" s="5" t="s">
        <v>69</v>
      </c>
      <c r="D24" s="16" t="n">
        <v>46197</v>
      </c>
      <c r="E24" s="5" t="s">
        <v>392</v>
      </c>
      <c r="F24" s="5" t="n">
        <v>21</v>
      </c>
      <c r="G24" s="5" t="s">
        <v>385</v>
      </c>
      <c r="H24" s="5" t="s">
        <v>951</v>
      </c>
      <c r="I24" s="5" t="s">
        <v>952</v>
      </c>
      <c r="J24" s="5" t="n">
        <v>2024</v>
      </c>
      <c r="K24" s="5" t="s">
        <v>909</v>
      </c>
      <c r="L24" s="5" t="s">
        <v>953</v>
      </c>
      <c r="M24" s="5"/>
      <c r="N24" s="5" t="s">
        <v>954</v>
      </c>
    </row>
    <row r="25" customFormat="false" ht="162.65" hidden="false" customHeight="false" outlineLevel="0" collapsed="false">
      <c r="A25" s="5" t="s">
        <v>2003</v>
      </c>
      <c r="B25" s="5" t="s">
        <v>39</v>
      </c>
      <c r="C25" s="5" t="s">
        <v>69</v>
      </c>
      <c r="D25" s="16" t="n">
        <v>46197</v>
      </c>
      <c r="E25" s="5" t="s">
        <v>392</v>
      </c>
      <c r="F25" s="5" t="n">
        <v>22</v>
      </c>
      <c r="G25" s="5" t="s">
        <v>385</v>
      </c>
      <c r="H25" s="5" t="s">
        <v>242</v>
      </c>
      <c r="I25" s="5" t="s">
        <v>243</v>
      </c>
      <c r="J25" s="5" t="n">
        <v>2023</v>
      </c>
      <c r="K25" s="5" t="s">
        <v>244</v>
      </c>
      <c r="L25" s="5" t="s">
        <v>245</v>
      </c>
      <c r="M25" s="5" t="s">
        <v>2004</v>
      </c>
      <c r="N25" s="5" t="s">
        <v>477</v>
      </c>
    </row>
    <row r="26" customFormat="false" ht="364.15" hidden="false" customHeight="false" outlineLevel="0" collapsed="false">
      <c r="A26" s="5" t="s">
        <v>2005</v>
      </c>
      <c r="B26" s="5" t="s">
        <v>39</v>
      </c>
      <c r="C26" s="5" t="s">
        <v>69</v>
      </c>
      <c r="D26" s="16" t="n">
        <v>46197</v>
      </c>
      <c r="E26" s="5" t="s">
        <v>392</v>
      </c>
      <c r="F26" s="5" t="n">
        <v>23</v>
      </c>
      <c r="G26" s="5" t="s">
        <v>385</v>
      </c>
      <c r="H26" s="5" t="s">
        <v>557</v>
      </c>
      <c r="I26" s="5" t="s">
        <v>558</v>
      </c>
      <c r="J26" s="5" t="n">
        <v>2022</v>
      </c>
      <c r="K26" s="5" t="s">
        <v>559</v>
      </c>
      <c r="L26" s="5" t="s">
        <v>560</v>
      </c>
      <c r="M26" s="5" t="s">
        <v>2006</v>
      </c>
      <c r="N26" s="5" t="s">
        <v>561</v>
      </c>
    </row>
    <row r="27" customFormat="false" ht="149.25" hidden="false" customHeight="false" outlineLevel="0" collapsed="false">
      <c r="A27" s="5" t="s">
        <v>2007</v>
      </c>
      <c r="B27" s="5" t="s">
        <v>39</v>
      </c>
      <c r="C27" s="5" t="s">
        <v>69</v>
      </c>
      <c r="D27" s="16" t="n">
        <v>46197</v>
      </c>
      <c r="E27" s="5" t="s">
        <v>392</v>
      </c>
      <c r="F27" s="5" t="n">
        <v>24</v>
      </c>
      <c r="G27" s="5" t="s">
        <v>385</v>
      </c>
      <c r="H27" s="5" t="s">
        <v>724</v>
      </c>
      <c r="I27" s="5" t="s">
        <v>725</v>
      </c>
      <c r="J27" s="5" t="n">
        <v>2023</v>
      </c>
      <c r="K27" s="5" t="s">
        <v>726</v>
      </c>
      <c r="L27" s="5" t="s">
        <v>727</v>
      </c>
      <c r="M27" s="5" t="s">
        <v>2008</v>
      </c>
      <c r="N27" s="5" t="s">
        <v>728</v>
      </c>
    </row>
    <row r="28" customFormat="false" ht="202.95" hidden="false" customHeight="false" outlineLevel="0" collapsed="false">
      <c r="A28" s="5" t="s">
        <v>2009</v>
      </c>
      <c r="B28" s="5" t="s">
        <v>39</v>
      </c>
      <c r="C28" s="5" t="s">
        <v>69</v>
      </c>
      <c r="D28" s="16" t="n">
        <v>46197</v>
      </c>
      <c r="E28" s="5" t="s">
        <v>392</v>
      </c>
      <c r="F28" s="5" t="n">
        <v>25</v>
      </c>
      <c r="G28" s="5" t="s">
        <v>385</v>
      </c>
      <c r="H28" s="5" t="s">
        <v>787</v>
      </c>
      <c r="I28" s="5" t="s">
        <v>788</v>
      </c>
      <c r="J28" s="5" t="n">
        <v>2023</v>
      </c>
      <c r="K28" s="5" t="s">
        <v>453</v>
      </c>
      <c r="L28" s="5" t="s">
        <v>789</v>
      </c>
      <c r="M28" s="5" t="s">
        <v>2010</v>
      </c>
      <c r="N28" s="5" t="s">
        <v>790</v>
      </c>
    </row>
    <row r="29" customFormat="false" ht="28.35" hidden="false" customHeight="false" outlineLevel="0" collapsed="false">
      <c r="A29" s="5" t="s">
        <v>2011</v>
      </c>
      <c r="B29" s="5" t="s">
        <v>39</v>
      </c>
      <c r="C29" s="5" t="s">
        <v>69</v>
      </c>
      <c r="D29" s="16" t="n">
        <v>46197</v>
      </c>
      <c r="E29" s="5" t="s">
        <v>392</v>
      </c>
      <c r="F29" s="5" t="n">
        <v>26</v>
      </c>
      <c r="G29" s="5" t="s">
        <v>385</v>
      </c>
      <c r="H29" s="5" t="s">
        <v>252</v>
      </c>
      <c r="I29" s="5" t="s">
        <v>253</v>
      </c>
      <c r="J29" s="5" t="n">
        <v>2024</v>
      </c>
      <c r="K29" s="5" t="s">
        <v>254</v>
      </c>
      <c r="L29" s="5" t="s">
        <v>255</v>
      </c>
      <c r="M29" s="5"/>
      <c r="N29" s="5"/>
    </row>
    <row r="30" customFormat="false" ht="82.05" hidden="false" customHeight="false" outlineLevel="0" collapsed="false">
      <c r="A30" s="5" t="s">
        <v>2012</v>
      </c>
      <c r="B30" s="5" t="s">
        <v>39</v>
      </c>
      <c r="C30" s="5" t="s">
        <v>69</v>
      </c>
      <c r="D30" s="16" t="n">
        <v>46197</v>
      </c>
      <c r="E30" s="5" t="s">
        <v>392</v>
      </c>
      <c r="F30" s="5" t="n">
        <v>27</v>
      </c>
      <c r="G30" s="5" t="s">
        <v>385</v>
      </c>
      <c r="H30" s="5" t="s">
        <v>207</v>
      </c>
      <c r="I30" s="5" t="s">
        <v>208</v>
      </c>
      <c r="J30" s="5" t="n">
        <v>2021</v>
      </c>
      <c r="K30" s="5" t="s">
        <v>209</v>
      </c>
      <c r="L30" s="5" t="s">
        <v>210</v>
      </c>
      <c r="M30" s="5" t="s">
        <v>2013</v>
      </c>
      <c r="N30" s="5"/>
    </row>
    <row r="31" customFormat="false" ht="28.35" hidden="false" customHeight="false" outlineLevel="0" collapsed="false">
      <c r="A31" s="5" t="s">
        <v>2014</v>
      </c>
      <c r="B31" s="5" t="s">
        <v>39</v>
      </c>
      <c r="C31" s="5" t="s">
        <v>69</v>
      </c>
      <c r="D31" s="16" t="n">
        <v>46197</v>
      </c>
      <c r="E31" s="5" t="s">
        <v>392</v>
      </c>
      <c r="F31" s="5" t="n">
        <v>28</v>
      </c>
      <c r="G31" s="5" t="s">
        <v>385</v>
      </c>
      <c r="H31" s="5" t="s">
        <v>548</v>
      </c>
      <c r="I31" s="5" t="s">
        <v>549</v>
      </c>
      <c r="J31" s="5" t="n">
        <v>2024</v>
      </c>
      <c r="K31" s="5" t="s">
        <v>254</v>
      </c>
      <c r="L31" s="5" t="s">
        <v>550</v>
      </c>
      <c r="M31" s="5"/>
      <c r="N31" s="5"/>
    </row>
    <row r="32" customFormat="false" ht="28.35" hidden="false" customHeight="false" outlineLevel="0" collapsed="false">
      <c r="A32" s="5" t="s">
        <v>2015</v>
      </c>
      <c r="B32" s="5" t="s">
        <v>39</v>
      </c>
      <c r="C32" s="5" t="s">
        <v>69</v>
      </c>
      <c r="D32" s="16" t="n">
        <v>46197</v>
      </c>
      <c r="E32" s="5" t="s">
        <v>392</v>
      </c>
      <c r="F32" s="5" t="n">
        <v>29</v>
      </c>
      <c r="G32" s="5" t="s">
        <v>385</v>
      </c>
      <c r="H32" s="5" t="s">
        <v>521</v>
      </c>
      <c r="I32" s="5" t="s">
        <v>522</v>
      </c>
      <c r="J32" s="5" t="n">
        <v>2024</v>
      </c>
      <c r="K32" s="5" t="s">
        <v>523</v>
      </c>
      <c r="L32" s="5" t="s">
        <v>524</v>
      </c>
      <c r="M32" s="5"/>
      <c r="N32" s="5"/>
    </row>
    <row r="33" customFormat="false" ht="28.35" hidden="false" customHeight="false" outlineLevel="0" collapsed="false">
      <c r="A33" s="5" t="s">
        <v>2016</v>
      </c>
      <c r="B33" s="5" t="s">
        <v>39</v>
      </c>
      <c r="C33" s="5" t="s">
        <v>69</v>
      </c>
      <c r="D33" s="16" t="n">
        <v>46197</v>
      </c>
      <c r="E33" s="5" t="s">
        <v>392</v>
      </c>
      <c r="F33" s="5" t="n">
        <v>30</v>
      </c>
      <c r="G33" s="5" t="s">
        <v>385</v>
      </c>
      <c r="H33" s="5" t="s">
        <v>756</v>
      </c>
      <c r="I33" s="5" t="s">
        <v>757</v>
      </c>
      <c r="J33" s="5" t="n">
        <v>2024</v>
      </c>
      <c r="K33" s="5" t="s">
        <v>254</v>
      </c>
      <c r="L33" s="5" t="s">
        <v>758</v>
      </c>
      <c r="M33" s="5"/>
      <c r="N33" s="5"/>
    </row>
    <row r="34" customFormat="false" ht="28.35" hidden="false" customHeight="false" outlineLevel="0" collapsed="false">
      <c r="A34" s="5" t="s">
        <v>2017</v>
      </c>
      <c r="B34" s="5" t="s">
        <v>39</v>
      </c>
      <c r="C34" s="5" t="s">
        <v>69</v>
      </c>
      <c r="D34" s="16" t="n">
        <v>46197</v>
      </c>
      <c r="E34" s="5" t="s">
        <v>392</v>
      </c>
      <c r="F34" s="5" t="n">
        <v>31</v>
      </c>
      <c r="G34" s="5" t="s">
        <v>385</v>
      </c>
      <c r="H34" s="5" t="s">
        <v>505</v>
      </c>
      <c r="I34" s="5" t="s">
        <v>506</v>
      </c>
      <c r="J34" s="5" t="n">
        <v>2024</v>
      </c>
      <c r="K34" s="5" t="s">
        <v>507</v>
      </c>
      <c r="L34" s="5" t="s">
        <v>508</v>
      </c>
      <c r="M34" s="5"/>
      <c r="N34" s="5"/>
    </row>
    <row r="35" customFormat="false" ht="28.35" hidden="false" customHeight="false" outlineLevel="0" collapsed="false">
      <c r="A35" s="5" t="s">
        <v>2018</v>
      </c>
      <c r="B35" s="5" t="s">
        <v>39</v>
      </c>
      <c r="C35" s="5" t="s">
        <v>69</v>
      </c>
      <c r="D35" s="16" t="n">
        <v>46197</v>
      </c>
      <c r="E35" s="5" t="s">
        <v>392</v>
      </c>
      <c r="F35" s="5" t="n">
        <v>32</v>
      </c>
      <c r="G35" s="5" t="s">
        <v>385</v>
      </c>
      <c r="H35" s="5" t="s">
        <v>500</v>
      </c>
      <c r="I35" s="5" t="s">
        <v>501</v>
      </c>
      <c r="J35" s="5" t="n">
        <v>2022</v>
      </c>
      <c r="K35" s="5" t="s">
        <v>502</v>
      </c>
      <c r="L35" s="5" t="s">
        <v>503</v>
      </c>
      <c r="M35" s="5"/>
      <c r="N35" s="5"/>
    </row>
    <row r="36" customFormat="false" ht="55.2" hidden="false" customHeight="false" outlineLevel="0" collapsed="false">
      <c r="A36" s="5" t="s">
        <v>2019</v>
      </c>
      <c r="B36" s="5" t="s">
        <v>39</v>
      </c>
      <c r="C36" s="5" t="s">
        <v>69</v>
      </c>
      <c r="D36" s="16" t="n">
        <v>46197</v>
      </c>
      <c r="E36" s="5" t="s">
        <v>392</v>
      </c>
      <c r="F36" s="5" t="n">
        <v>33</v>
      </c>
      <c r="G36" s="5" t="s">
        <v>385</v>
      </c>
      <c r="H36" s="5" t="s">
        <v>578</v>
      </c>
      <c r="I36" s="5" t="s">
        <v>579</v>
      </c>
      <c r="J36" s="5" t="n">
        <v>2024</v>
      </c>
      <c r="K36" s="5" t="s">
        <v>580</v>
      </c>
      <c r="L36" s="5" t="s">
        <v>581</v>
      </c>
      <c r="M36" s="5"/>
      <c r="N36" s="5"/>
    </row>
    <row r="37" customFormat="false" ht="28.35" hidden="false" customHeight="false" outlineLevel="0" collapsed="false">
      <c r="A37" s="5" t="s">
        <v>2020</v>
      </c>
      <c r="B37" s="5" t="s">
        <v>39</v>
      </c>
      <c r="C37" s="5" t="s">
        <v>69</v>
      </c>
      <c r="D37" s="16" t="n">
        <v>46197</v>
      </c>
      <c r="E37" s="5" t="s">
        <v>392</v>
      </c>
      <c r="F37" s="5" t="n">
        <v>34</v>
      </c>
      <c r="G37" s="5" t="s">
        <v>385</v>
      </c>
      <c r="H37" s="5" t="s">
        <v>469</v>
      </c>
      <c r="I37" s="5" t="s">
        <v>470</v>
      </c>
      <c r="J37" s="5" t="n">
        <v>2023</v>
      </c>
      <c r="K37" s="5" t="s">
        <v>233</v>
      </c>
      <c r="L37" s="5" t="s">
        <v>471</v>
      </c>
      <c r="M37" s="5"/>
      <c r="N37" s="5"/>
    </row>
    <row r="38" customFormat="false" ht="28.35" hidden="false" customHeight="false" outlineLevel="0" collapsed="false">
      <c r="A38" s="5" t="s">
        <v>2021</v>
      </c>
      <c r="B38" s="5" t="s">
        <v>39</v>
      </c>
      <c r="C38" s="5" t="s">
        <v>69</v>
      </c>
      <c r="D38" s="16" t="n">
        <v>46197</v>
      </c>
      <c r="E38" s="5" t="s">
        <v>392</v>
      </c>
      <c r="F38" s="5" t="n">
        <v>35</v>
      </c>
      <c r="G38" s="5" t="s">
        <v>385</v>
      </c>
      <c r="H38" s="5" t="s">
        <v>609</v>
      </c>
      <c r="I38" s="5" t="s">
        <v>610</v>
      </c>
      <c r="J38" s="5" t="n">
        <v>2023</v>
      </c>
      <c r="K38" s="5" t="s">
        <v>233</v>
      </c>
      <c r="L38" s="5" t="s">
        <v>611</v>
      </c>
      <c r="M38" s="5"/>
      <c r="N38" s="5"/>
    </row>
    <row r="39" customFormat="false" ht="28.35" hidden="false" customHeight="false" outlineLevel="0" collapsed="false">
      <c r="A39" s="5" t="s">
        <v>2022</v>
      </c>
      <c r="B39" s="5" t="s">
        <v>39</v>
      </c>
      <c r="C39" s="5" t="s">
        <v>69</v>
      </c>
      <c r="D39" s="16" t="n">
        <v>46197</v>
      </c>
      <c r="E39" s="5" t="s">
        <v>392</v>
      </c>
      <c r="F39" s="5" t="n">
        <v>36</v>
      </c>
      <c r="G39" s="5" t="s">
        <v>385</v>
      </c>
      <c r="H39" s="5" t="s">
        <v>833</v>
      </c>
      <c r="I39" s="5" t="s">
        <v>834</v>
      </c>
      <c r="J39" s="5" t="n">
        <v>2024</v>
      </c>
      <c r="K39" s="5" t="s">
        <v>835</v>
      </c>
      <c r="L39" s="5" t="s">
        <v>836</v>
      </c>
      <c r="M39" s="5"/>
      <c r="N39" s="5"/>
    </row>
    <row r="40" customFormat="false" ht="28.35" hidden="false" customHeight="false" outlineLevel="0" collapsed="false">
      <c r="A40" s="5" t="s">
        <v>2023</v>
      </c>
      <c r="B40" s="5" t="s">
        <v>39</v>
      </c>
      <c r="C40" s="5" t="s">
        <v>69</v>
      </c>
      <c r="D40" s="16" t="n">
        <v>46197</v>
      </c>
      <c r="E40" s="5" t="s">
        <v>392</v>
      </c>
      <c r="F40" s="5" t="n">
        <v>37</v>
      </c>
      <c r="G40" s="5" t="s">
        <v>385</v>
      </c>
      <c r="H40" s="5" t="s">
        <v>439</v>
      </c>
      <c r="I40" s="5" t="s">
        <v>440</v>
      </c>
      <c r="J40" s="5" t="n">
        <v>2024</v>
      </c>
      <c r="K40" s="5" t="s">
        <v>441</v>
      </c>
      <c r="L40" s="5" t="s">
        <v>442</v>
      </c>
      <c r="M40" s="5"/>
      <c r="N40" s="5"/>
    </row>
    <row r="41" customFormat="false" ht="28.35" hidden="false" customHeight="false" outlineLevel="0" collapsed="false">
      <c r="A41" s="5" t="s">
        <v>2024</v>
      </c>
      <c r="B41" s="5" t="s">
        <v>39</v>
      </c>
      <c r="C41" s="5" t="s">
        <v>69</v>
      </c>
      <c r="D41" s="16" t="n">
        <v>46197</v>
      </c>
      <c r="E41" s="5" t="s">
        <v>392</v>
      </c>
      <c r="F41" s="5" t="n">
        <v>38</v>
      </c>
      <c r="G41" s="5" t="s">
        <v>385</v>
      </c>
      <c r="H41" s="5" t="s">
        <v>496</v>
      </c>
      <c r="I41" s="5" t="s">
        <v>497</v>
      </c>
      <c r="J41" s="5" t="n">
        <v>2023</v>
      </c>
      <c r="K41" s="5" t="s">
        <v>254</v>
      </c>
      <c r="L41" s="5" t="s">
        <v>498</v>
      </c>
      <c r="M41" s="5"/>
      <c r="N41" s="5"/>
    </row>
    <row r="42" customFormat="false" ht="28.35" hidden="false" customHeight="false" outlineLevel="0" collapsed="false">
      <c r="A42" s="5" t="s">
        <v>2025</v>
      </c>
      <c r="B42" s="5" t="s">
        <v>39</v>
      </c>
      <c r="C42" s="5" t="s">
        <v>69</v>
      </c>
      <c r="D42" s="16" t="n">
        <v>46197</v>
      </c>
      <c r="E42" s="5" t="s">
        <v>392</v>
      </c>
      <c r="F42" s="5" t="n">
        <v>39</v>
      </c>
      <c r="G42" s="5" t="s">
        <v>385</v>
      </c>
      <c r="H42" s="5" t="s">
        <v>782</v>
      </c>
      <c r="I42" s="5" t="s">
        <v>783</v>
      </c>
      <c r="J42" s="5" t="n">
        <v>2021</v>
      </c>
      <c r="K42" s="5" t="s">
        <v>254</v>
      </c>
      <c r="L42" s="5" t="s">
        <v>784</v>
      </c>
      <c r="M42" s="5"/>
      <c r="N42" s="5"/>
    </row>
    <row r="43" customFormat="false" ht="28.35" hidden="false" customHeight="false" outlineLevel="0" collapsed="false">
      <c r="A43" s="5" t="s">
        <v>2026</v>
      </c>
      <c r="B43" s="5" t="s">
        <v>39</v>
      </c>
      <c r="C43" s="5" t="s">
        <v>69</v>
      </c>
      <c r="D43" s="16" t="n">
        <v>46197</v>
      </c>
      <c r="E43" s="5" t="s">
        <v>392</v>
      </c>
      <c r="F43" s="5" t="n">
        <v>40</v>
      </c>
      <c r="G43" s="5" t="s">
        <v>385</v>
      </c>
      <c r="H43" s="5" t="s">
        <v>714</v>
      </c>
      <c r="I43" s="5" t="s">
        <v>715</v>
      </c>
      <c r="J43" s="5" t="n">
        <v>2024</v>
      </c>
      <c r="K43" s="5" t="s">
        <v>716</v>
      </c>
      <c r="L43" s="5" t="s">
        <v>717</v>
      </c>
      <c r="M43" s="5"/>
      <c r="N43" s="5"/>
    </row>
    <row r="44" customFormat="false" ht="28.35" hidden="false" customHeight="false" outlineLevel="0" collapsed="false">
      <c r="A44" s="5" t="s">
        <v>2027</v>
      </c>
      <c r="B44" s="5" t="s">
        <v>39</v>
      </c>
      <c r="C44" s="5" t="s">
        <v>69</v>
      </c>
      <c r="D44" s="16" t="n">
        <v>46197</v>
      </c>
      <c r="E44" s="5" t="s">
        <v>392</v>
      </c>
      <c r="F44" s="5" t="n">
        <v>41</v>
      </c>
      <c r="G44" s="5" t="s">
        <v>385</v>
      </c>
      <c r="H44" s="5" t="s">
        <v>697</v>
      </c>
      <c r="I44" s="5" t="s">
        <v>698</v>
      </c>
      <c r="J44" s="5" t="n">
        <v>2015</v>
      </c>
      <c r="K44" s="5" t="s">
        <v>459</v>
      </c>
      <c r="L44" s="5" t="s">
        <v>699</v>
      </c>
      <c r="M44" s="5"/>
      <c r="N44" s="5"/>
    </row>
    <row r="45" customFormat="false" ht="28.35" hidden="false" customHeight="false" outlineLevel="0" collapsed="false">
      <c r="A45" s="5" t="s">
        <v>2028</v>
      </c>
      <c r="B45" s="5" t="s">
        <v>39</v>
      </c>
      <c r="C45" s="5" t="s">
        <v>69</v>
      </c>
      <c r="D45" s="16" t="n">
        <v>46197</v>
      </c>
      <c r="E45" s="5" t="s">
        <v>392</v>
      </c>
      <c r="F45" s="5" t="n">
        <v>42</v>
      </c>
      <c r="G45" s="5" t="s">
        <v>385</v>
      </c>
      <c r="H45" s="5" t="s">
        <v>457</v>
      </c>
      <c r="I45" s="5" t="s">
        <v>458</v>
      </c>
      <c r="J45" s="5" t="n">
        <v>2018</v>
      </c>
      <c r="K45" s="5" t="s">
        <v>459</v>
      </c>
      <c r="L45" s="5" t="s">
        <v>460</v>
      </c>
      <c r="M45" s="5"/>
      <c r="N45" s="5"/>
    </row>
    <row r="46" customFormat="false" ht="28.35" hidden="false" customHeight="false" outlineLevel="0" collapsed="false">
      <c r="A46" s="5" t="s">
        <v>2029</v>
      </c>
      <c r="B46" s="5" t="s">
        <v>39</v>
      </c>
      <c r="C46" s="5" t="s">
        <v>69</v>
      </c>
      <c r="D46" s="16" t="n">
        <v>46197</v>
      </c>
      <c r="E46" s="5" t="s">
        <v>392</v>
      </c>
      <c r="F46" s="5" t="n">
        <v>43</v>
      </c>
      <c r="G46" s="5" t="s">
        <v>385</v>
      </c>
      <c r="H46" s="5" t="s">
        <v>818</v>
      </c>
      <c r="I46" s="5" t="s">
        <v>819</v>
      </c>
      <c r="J46" s="5" t="n">
        <v>2023</v>
      </c>
      <c r="K46" s="5" t="s">
        <v>233</v>
      </c>
      <c r="L46" s="5" t="s">
        <v>820</v>
      </c>
      <c r="M46" s="5"/>
      <c r="N46" s="5"/>
    </row>
    <row r="47" customFormat="false" ht="28.35" hidden="false" customHeight="false" outlineLevel="0" collapsed="false">
      <c r="A47" s="5" t="s">
        <v>2030</v>
      </c>
      <c r="B47" s="5" t="s">
        <v>39</v>
      </c>
      <c r="C47" s="5" t="s">
        <v>69</v>
      </c>
      <c r="D47" s="16" t="n">
        <v>46197</v>
      </c>
      <c r="E47" s="5" t="s">
        <v>392</v>
      </c>
      <c r="F47" s="5" t="n">
        <v>44</v>
      </c>
      <c r="G47" s="5" t="s">
        <v>385</v>
      </c>
      <c r="H47" s="5" t="s">
        <v>624</v>
      </c>
      <c r="I47" s="5" t="s">
        <v>625</v>
      </c>
      <c r="J47" s="5" t="n">
        <v>2023</v>
      </c>
      <c r="K47" s="5" t="s">
        <v>626</v>
      </c>
      <c r="L47" s="5" t="s">
        <v>627</v>
      </c>
      <c r="M47" s="5"/>
      <c r="N47" s="5"/>
    </row>
    <row r="48" customFormat="false" ht="28.35" hidden="false" customHeight="false" outlineLevel="0" collapsed="false">
      <c r="A48" s="5" t="s">
        <v>2031</v>
      </c>
      <c r="B48" s="5" t="s">
        <v>39</v>
      </c>
      <c r="C48" s="5" t="s">
        <v>69</v>
      </c>
      <c r="D48" s="16" t="n">
        <v>46197</v>
      </c>
      <c r="E48" s="5" t="s">
        <v>392</v>
      </c>
      <c r="F48" s="5" t="n">
        <v>45</v>
      </c>
      <c r="G48" s="5" t="s">
        <v>385</v>
      </c>
      <c r="H48" s="5" t="s">
        <v>383</v>
      </c>
      <c r="I48" s="5" t="s">
        <v>384</v>
      </c>
      <c r="J48" s="5" t="n">
        <v>2023</v>
      </c>
      <c r="K48" s="5" t="s">
        <v>386</v>
      </c>
      <c r="L48" s="5" t="s">
        <v>387</v>
      </c>
      <c r="M48" s="5"/>
      <c r="N48" s="5"/>
    </row>
    <row r="49" customFormat="false" ht="28.35" hidden="false" customHeight="false" outlineLevel="0" collapsed="false">
      <c r="A49" s="5" t="s">
        <v>2032</v>
      </c>
      <c r="B49" s="5" t="s">
        <v>39</v>
      </c>
      <c r="C49" s="5" t="s">
        <v>69</v>
      </c>
      <c r="D49" s="16" t="n">
        <v>46197</v>
      </c>
      <c r="E49" s="5" t="s">
        <v>392</v>
      </c>
      <c r="F49" s="5" t="n">
        <v>46</v>
      </c>
      <c r="G49" s="5" t="s">
        <v>385</v>
      </c>
      <c r="H49" s="5" t="s">
        <v>604</v>
      </c>
      <c r="I49" s="5" t="s">
        <v>605</v>
      </c>
      <c r="J49" s="5" t="n">
        <v>2023</v>
      </c>
      <c r="K49" s="5" t="s">
        <v>606</v>
      </c>
      <c r="L49" s="5" t="s">
        <v>607</v>
      </c>
      <c r="M49" s="5"/>
      <c r="N49" s="5"/>
    </row>
    <row r="50" customFormat="false" ht="28.35" hidden="false" customHeight="false" outlineLevel="0" collapsed="false">
      <c r="A50" s="5" t="s">
        <v>2033</v>
      </c>
      <c r="B50" s="5" t="s">
        <v>39</v>
      </c>
      <c r="C50" s="5" t="s">
        <v>69</v>
      </c>
      <c r="D50" s="16" t="n">
        <v>46197</v>
      </c>
      <c r="E50" s="5" t="s">
        <v>392</v>
      </c>
      <c r="F50" s="5" t="n">
        <v>47</v>
      </c>
      <c r="G50" s="5" t="s">
        <v>385</v>
      </c>
      <c r="H50" s="5" t="s">
        <v>613</v>
      </c>
      <c r="I50" s="5" t="s">
        <v>614</v>
      </c>
      <c r="J50" s="5" t="n">
        <v>2020</v>
      </c>
      <c r="K50" s="5" t="s">
        <v>615</v>
      </c>
      <c r="L50" s="5" t="s">
        <v>616</v>
      </c>
      <c r="M50" s="5"/>
      <c r="N50" s="5"/>
    </row>
    <row r="51" customFormat="false" ht="15" hidden="false" customHeight="false" outlineLevel="0" collapsed="false">
      <c r="A51" s="5" t="s">
        <v>2034</v>
      </c>
      <c r="B51" s="5" t="s">
        <v>39</v>
      </c>
      <c r="C51" s="5" t="s">
        <v>69</v>
      </c>
      <c r="D51" s="16" t="n">
        <v>46197</v>
      </c>
      <c r="E51" s="5" t="s">
        <v>392</v>
      </c>
      <c r="F51" s="5" t="n">
        <v>48</v>
      </c>
      <c r="G51" s="5" t="s">
        <v>385</v>
      </c>
      <c r="H51" s="5" t="s">
        <v>802</v>
      </c>
      <c r="I51" s="5" t="s">
        <v>803</v>
      </c>
      <c r="J51" s="5" t="n">
        <v>2024</v>
      </c>
      <c r="K51" s="5" t="s">
        <v>804</v>
      </c>
      <c r="L51" s="5" t="s">
        <v>805</v>
      </c>
      <c r="M51" s="5"/>
      <c r="N51" s="5"/>
    </row>
    <row r="52" customFormat="false" ht="41.75" hidden="false" customHeight="false" outlineLevel="0" collapsed="false">
      <c r="A52" s="5" t="s">
        <v>2035</v>
      </c>
      <c r="B52" s="5" t="s">
        <v>39</v>
      </c>
      <c r="C52" s="5" t="s">
        <v>69</v>
      </c>
      <c r="D52" s="16" t="n">
        <v>46197</v>
      </c>
      <c r="E52" s="5" t="s">
        <v>392</v>
      </c>
      <c r="F52" s="5" t="n">
        <v>49</v>
      </c>
      <c r="G52" s="5" t="s">
        <v>385</v>
      </c>
      <c r="H52" s="5" t="s">
        <v>710</v>
      </c>
      <c r="I52" s="5" t="s">
        <v>711</v>
      </c>
      <c r="J52" s="5" t="n">
        <v>2023</v>
      </c>
      <c r="K52" s="5" t="s">
        <v>703</v>
      </c>
      <c r="L52" s="5" t="s">
        <v>712</v>
      </c>
      <c r="M52" s="5"/>
      <c r="N52" s="5"/>
    </row>
    <row r="53" customFormat="false" ht="41.75" hidden="false" customHeight="false" outlineLevel="0" collapsed="false">
      <c r="A53" s="5" t="s">
        <v>2036</v>
      </c>
      <c r="B53" s="5" t="s">
        <v>39</v>
      </c>
      <c r="C53" s="5" t="s">
        <v>69</v>
      </c>
      <c r="D53" s="16" t="n">
        <v>46197</v>
      </c>
      <c r="E53" s="5" t="s">
        <v>392</v>
      </c>
      <c r="F53" s="5" t="n">
        <v>50</v>
      </c>
      <c r="G53" s="5" t="s">
        <v>385</v>
      </c>
      <c r="H53" s="5" t="s">
        <v>531</v>
      </c>
      <c r="I53" s="5" t="s">
        <v>532</v>
      </c>
      <c r="J53" s="5" t="n">
        <v>2022</v>
      </c>
      <c r="K53" s="5" t="s">
        <v>254</v>
      </c>
      <c r="L53" s="5" t="s">
        <v>533</v>
      </c>
      <c r="M53" s="5"/>
      <c r="N53" s="5"/>
    </row>
    <row r="54" customFormat="false" ht="28.35" hidden="false" customHeight="false" outlineLevel="0" collapsed="false">
      <c r="A54" s="5" t="s">
        <v>2037</v>
      </c>
      <c r="B54" s="5" t="s">
        <v>39</v>
      </c>
      <c r="C54" s="5" t="s">
        <v>69</v>
      </c>
      <c r="D54" s="16" t="n">
        <v>46197</v>
      </c>
      <c r="E54" s="5" t="s">
        <v>392</v>
      </c>
      <c r="F54" s="5" t="n">
        <v>51</v>
      </c>
      <c r="G54" s="5" t="s">
        <v>385</v>
      </c>
      <c r="H54" s="5" t="s">
        <v>741</v>
      </c>
      <c r="I54" s="5" t="s">
        <v>742</v>
      </c>
      <c r="J54" s="5" t="n">
        <v>2024</v>
      </c>
      <c r="K54" s="5" t="s">
        <v>743</v>
      </c>
      <c r="L54" s="5" t="s">
        <v>744</v>
      </c>
      <c r="M54" s="5"/>
      <c r="N54" s="5"/>
    </row>
    <row r="55" customFormat="false" ht="41.75" hidden="false" customHeight="false" outlineLevel="0" collapsed="false">
      <c r="A55" s="5" t="s">
        <v>2038</v>
      </c>
      <c r="B55" s="5" t="s">
        <v>39</v>
      </c>
      <c r="C55" s="5" t="s">
        <v>69</v>
      </c>
      <c r="D55" s="16" t="n">
        <v>46197</v>
      </c>
      <c r="E55" s="5" t="s">
        <v>392</v>
      </c>
      <c r="F55" s="5" t="n">
        <v>52</v>
      </c>
      <c r="G55" s="5" t="s">
        <v>385</v>
      </c>
      <c r="H55" s="5" t="s">
        <v>907</v>
      </c>
      <c r="I55" s="5" t="s">
        <v>908</v>
      </c>
      <c r="J55" s="5" t="n">
        <v>2024</v>
      </c>
      <c r="K55" s="5" t="s">
        <v>909</v>
      </c>
      <c r="L55" s="5" t="s">
        <v>910</v>
      </c>
      <c r="M55" s="5"/>
      <c r="N55" s="5"/>
    </row>
    <row r="56" customFormat="false" ht="28.35" hidden="false" customHeight="false" outlineLevel="0" collapsed="false">
      <c r="A56" s="5" t="s">
        <v>2039</v>
      </c>
      <c r="B56" s="5" t="s">
        <v>39</v>
      </c>
      <c r="C56" s="5" t="s">
        <v>69</v>
      </c>
      <c r="D56" s="16" t="n">
        <v>46197</v>
      </c>
      <c r="E56" s="5" t="s">
        <v>392</v>
      </c>
      <c r="F56" s="5" t="n">
        <v>53</v>
      </c>
      <c r="G56" s="5" t="s">
        <v>385</v>
      </c>
      <c r="H56" s="5" t="s">
        <v>599</v>
      </c>
      <c r="I56" s="5" t="s">
        <v>600</v>
      </c>
      <c r="J56" s="5" t="n">
        <v>2023</v>
      </c>
      <c r="K56" s="5" t="s">
        <v>601</v>
      </c>
      <c r="L56" s="5" t="s">
        <v>602</v>
      </c>
      <c r="M56" s="5"/>
      <c r="N56" s="5"/>
    </row>
    <row r="57" customFormat="false" ht="28.35" hidden="false" customHeight="false" outlineLevel="0" collapsed="false">
      <c r="A57" s="5" t="s">
        <v>2040</v>
      </c>
      <c r="B57" s="5" t="s">
        <v>39</v>
      </c>
      <c r="C57" s="5" t="s">
        <v>69</v>
      </c>
      <c r="D57" s="16" t="n">
        <v>46197</v>
      </c>
      <c r="E57" s="5" t="s">
        <v>392</v>
      </c>
      <c r="F57" s="5" t="n">
        <v>54</v>
      </c>
      <c r="G57" s="5" t="s">
        <v>385</v>
      </c>
      <c r="H57" s="5" t="s">
        <v>573</v>
      </c>
      <c r="I57" s="5" t="s">
        <v>574</v>
      </c>
      <c r="J57" s="5" t="n">
        <v>2024</v>
      </c>
      <c r="K57" s="5" t="s">
        <v>575</v>
      </c>
      <c r="L57" s="5" t="s">
        <v>576</v>
      </c>
      <c r="M57" s="5"/>
      <c r="N57" s="5"/>
    </row>
    <row r="58" customFormat="false" ht="28.35" hidden="false" customHeight="false" outlineLevel="0" collapsed="false">
      <c r="A58" s="5" t="s">
        <v>2041</v>
      </c>
      <c r="B58" s="5" t="s">
        <v>39</v>
      </c>
      <c r="C58" s="5" t="s">
        <v>69</v>
      </c>
      <c r="D58" s="16" t="n">
        <v>46197</v>
      </c>
      <c r="E58" s="5" t="s">
        <v>392</v>
      </c>
      <c r="F58" s="5" t="n">
        <v>55</v>
      </c>
      <c r="G58" s="5" t="s">
        <v>385</v>
      </c>
      <c r="H58" s="5" t="s">
        <v>701</v>
      </c>
      <c r="I58" s="5" t="s">
        <v>702</v>
      </c>
      <c r="J58" s="5" t="n">
        <v>2021</v>
      </c>
      <c r="K58" s="5" t="s">
        <v>703</v>
      </c>
      <c r="L58" s="5" t="s">
        <v>704</v>
      </c>
      <c r="M58" s="5"/>
      <c r="N58" s="5"/>
    </row>
    <row r="59" customFormat="false" ht="28.35" hidden="false" customHeight="false" outlineLevel="0" collapsed="false">
      <c r="A59" s="5" t="s">
        <v>2042</v>
      </c>
      <c r="B59" s="5" t="s">
        <v>39</v>
      </c>
      <c r="C59" s="5" t="s">
        <v>69</v>
      </c>
      <c r="D59" s="16" t="n">
        <v>46197</v>
      </c>
      <c r="E59" s="5" t="s">
        <v>392</v>
      </c>
      <c r="F59" s="5" t="n">
        <v>56</v>
      </c>
      <c r="G59" s="5" t="s">
        <v>385</v>
      </c>
      <c r="H59" s="5" t="s">
        <v>746</v>
      </c>
      <c r="I59" s="5" t="s">
        <v>747</v>
      </c>
      <c r="J59" s="5" t="n">
        <v>2021</v>
      </c>
      <c r="K59" s="5" t="s">
        <v>748</v>
      </c>
      <c r="L59" s="5" t="s">
        <v>749</v>
      </c>
      <c r="M59" s="5"/>
      <c r="N59" s="5"/>
    </row>
    <row r="60" customFormat="false" ht="41.75" hidden="false" customHeight="false" outlineLevel="0" collapsed="false">
      <c r="A60" s="5" t="s">
        <v>2043</v>
      </c>
      <c r="B60" s="5" t="s">
        <v>39</v>
      </c>
      <c r="C60" s="5" t="s">
        <v>72</v>
      </c>
      <c r="D60" s="16" t="n">
        <v>46197</v>
      </c>
      <c r="E60" s="5" t="s">
        <v>405</v>
      </c>
      <c r="F60" s="5" t="n">
        <v>1</v>
      </c>
      <c r="G60" s="5" t="s">
        <v>385</v>
      </c>
      <c r="H60" s="5" t="s">
        <v>719</v>
      </c>
      <c r="I60" s="5" t="s">
        <v>720</v>
      </c>
      <c r="J60" s="5" t="n">
        <v>2020</v>
      </c>
      <c r="K60" s="5" t="s">
        <v>721</v>
      </c>
      <c r="L60" s="5" t="s">
        <v>722</v>
      </c>
      <c r="M60" s="5" t="s">
        <v>2044</v>
      </c>
      <c r="N60" s="5"/>
    </row>
    <row r="61" customFormat="false" ht="28.35" hidden="false" customHeight="false" outlineLevel="0" collapsed="false">
      <c r="A61" s="5" t="s">
        <v>2045</v>
      </c>
      <c r="B61" s="5" t="s">
        <v>39</v>
      </c>
      <c r="C61" s="5" t="s">
        <v>72</v>
      </c>
      <c r="D61" s="16" t="n">
        <v>46197</v>
      </c>
      <c r="E61" s="5" t="s">
        <v>405</v>
      </c>
      <c r="F61" s="5" t="n">
        <v>2</v>
      </c>
      <c r="G61" s="5" t="s">
        <v>385</v>
      </c>
      <c r="H61" s="5" t="s">
        <v>588</v>
      </c>
      <c r="I61" s="5" t="s">
        <v>589</v>
      </c>
      <c r="J61" s="5" t="n">
        <v>2022</v>
      </c>
      <c r="K61" s="5" t="s">
        <v>244</v>
      </c>
      <c r="L61" s="5" t="s">
        <v>590</v>
      </c>
      <c r="M61" s="5" t="s">
        <v>2046</v>
      </c>
      <c r="N61" s="5"/>
    </row>
    <row r="62" customFormat="false" ht="2740.25" hidden="false" customHeight="false" outlineLevel="0" collapsed="false">
      <c r="A62" s="5" t="s">
        <v>2047</v>
      </c>
      <c r="B62" s="5" t="s">
        <v>39</v>
      </c>
      <c r="C62" s="5" t="s">
        <v>72</v>
      </c>
      <c r="D62" s="16" t="n">
        <v>46197</v>
      </c>
      <c r="E62" s="5" t="s">
        <v>405</v>
      </c>
      <c r="F62" s="5" t="n">
        <v>3</v>
      </c>
      <c r="G62" s="5" t="s">
        <v>385</v>
      </c>
      <c r="H62" s="5" t="s">
        <v>849</v>
      </c>
      <c r="I62" s="5" t="s">
        <v>850</v>
      </c>
      <c r="J62" s="5" t="n">
        <v>2023</v>
      </c>
      <c r="K62" s="5" t="s">
        <v>453</v>
      </c>
      <c r="L62" s="5" t="s">
        <v>851</v>
      </c>
      <c r="M62" s="5" t="s">
        <v>1980</v>
      </c>
      <c r="N62" s="5"/>
    </row>
    <row r="63" customFormat="false" ht="28.35" hidden="false" customHeight="false" outlineLevel="0" collapsed="false">
      <c r="A63" s="5" t="s">
        <v>2048</v>
      </c>
      <c r="B63" s="5" t="s">
        <v>39</v>
      </c>
      <c r="C63" s="5" t="s">
        <v>72</v>
      </c>
      <c r="D63" s="16" t="n">
        <v>46197</v>
      </c>
      <c r="E63" s="5" t="s">
        <v>405</v>
      </c>
      <c r="F63" s="5" t="n">
        <v>4</v>
      </c>
      <c r="G63" s="5" t="s">
        <v>385</v>
      </c>
      <c r="H63" s="5" t="s">
        <v>197</v>
      </c>
      <c r="I63" s="5" t="s">
        <v>198</v>
      </c>
      <c r="J63" s="5" t="n">
        <v>2021</v>
      </c>
      <c r="K63" s="5" t="s">
        <v>199</v>
      </c>
      <c r="L63" s="5" t="s">
        <v>200</v>
      </c>
      <c r="M63" s="5" t="s">
        <v>2049</v>
      </c>
      <c r="N63" s="5"/>
    </row>
    <row r="64" customFormat="false" ht="41.75" hidden="false" customHeight="false" outlineLevel="0" collapsed="false">
      <c r="A64" s="5" t="s">
        <v>2050</v>
      </c>
      <c r="B64" s="5" t="s">
        <v>39</v>
      </c>
      <c r="C64" s="5" t="s">
        <v>72</v>
      </c>
      <c r="D64" s="16" t="n">
        <v>46197</v>
      </c>
      <c r="E64" s="5" t="s">
        <v>405</v>
      </c>
      <c r="F64" s="5" t="n">
        <v>5</v>
      </c>
      <c r="G64" s="5" t="s">
        <v>385</v>
      </c>
      <c r="H64" s="5" t="s">
        <v>202</v>
      </c>
      <c r="I64" s="5" t="s">
        <v>203</v>
      </c>
      <c r="J64" s="5" t="n">
        <v>2020</v>
      </c>
      <c r="K64" s="5" t="s">
        <v>204</v>
      </c>
      <c r="L64" s="5" t="s">
        <v>205</v>
      </c>
      <c r="M64" s="5" t="s">
        <v>2051</v>
      </c>
      <c r="N64" s="5"/>
    </row>
    <row r="65" customFormat="false" ht="108.95" hidden="false" customHeight="false" outlineLevel="0" collapsed="false">
      <c r="A65" s="5" t="s">
        <v>2052</v>
      </c>
      <c r="B65" s="5" t="s">
        <v>39</v>
      </c>
      <c r="C65" s="5" t="s">
        <v>72</v>
      </c>
      <c r="D65" s="16" t="n">
        <v>46197</v>
      </c>
      <c r="E65" s="5" t="s">
        <v>405</v>
      </c>
      <c r="F65" s="5" t="n">
        <v>6</v>
      </c>
      <c r="G65" s="5" t="s">
        <v>385</v>
      </c>
      <c r="H65" s="5" t="s">
        <v>1206</v>
      </c>
      <c r="I65" s="5" t="s">
        <v>1207</v>
      </c>
      <c r="J65" s="5" t="n">
        <v>2023</v>
      </c>
      <c r="K65" s="5" t="s">
        <v>249</v>
      </c>
      <c r="L65" s="5" t="s">
        <v>1208</v>
      </c>
      <c r="M65" s="5" t="s">
        <v>2053</v>
      </c>
      <c r="N65" s="5"/>
    </row>
    <row r="66" customFormat="false" ht="28.35" hidden="false" customHeight="false" outlineLevel="0" collapsed="false">
      <c r="A66" s="5" t="s">
        <v>2054</v>
      </c>
      <c r="B66" s="5" t="s">
        <v>39</v>
      </c>
      <c r="C66" s="5" t="s">
        <v>72</v>
      </c>
      <c r="D66" s="16" t="n">
        <v>46197</v>
      </c>
      <c r="E66" s="5" t="s">
        <v>405</v>
      </c>
      <c r="F66" s="5" t="n">
        <v>7</v>
      </c>
      <c r="G66" s="5" t="s">
        <v>385</v>
      </c>
      <c r="H66" s="5" t="s">
        <v>221</v>
      </c>
      <c r="I66" s="5" t="s">
        <v>222</v>
      </c>
      <c r="J66" s="5" t="n">
        <v>2022</v>
      </c>
      <c r="K66" s="5" t="s">
        <v>223</v>
      </c>
      <c r="L66" s="5" t="s">
        <v>224</v>
      </c>
      <c r="M66" s="5" t="s">
        <v>2055</v>
      </c>
      <c r="N66" s="5"/>
    </row>
    <row r="67" customFormat="false" ht="41.75" hidden="false" customHeight="false" outlineLevel="0" collapsed="false">
      <c r="A67" s="5" t="s">
        <v>2056</v>
      </c>
      <c r="B67" s="5" t="s">
        <v>39</v>
      </c>
      <c r="C67" s="5" t="s">
        <v>72</v>
      </c>
      <c r="D67" s="16" t="n">
        <v>46197</v>
      </c>
      <c r="E67" s="5" t="s">
        <v>405</v>
      </c>
      <c r="F67" s="5" t="n">
        <v>8</v>
      </c>
      <c r="G67" s="5" t="s">
        <v>385</v>
      </c>
      <c r="H67" s="5" t="s">
        <v>247</v>
      </c>
      <c r="I67" s="5" t="s">
        <v>248</v>
      </c>
      <c r="J67" s="5" t="n">
        <v>2023</v>
      </c>
      <c r="K67" s="5" t="s">
        <v>249</v>
      </c>
      <c r="L67" s="5" t="s">
        <v>250</v>
      </c>
      <c r="M67" s="5" t="s">
        <v>2057</v>
      </c>
      <c r="N67" s="5"/>
    </row>
    <row r="68" customFormat="false" ht="55.2" hidden="false" customHeight="false" outlineLevel="0" collapsed="false">
      <c r="A68" s="5" t="s">
        <v>2058</v>
      </c>
      <c r="B68" s="5" t="s">
        <v>39</v>
      </c>
      <c r="C68" s="5" t="s">
        <v>72</v>
      </c>
      <c r="D68" s="16" t="n">
        <v>46197</v>
      </c>
      <c r="E68" s="5" t="s">
        <v>405</v>
      </c>
      <c r="F68" s="5" t="n">
        <v>9</v>
      </c>
      <c r="G68" s="5" t="s">
        <v>385</v>
      </c>
      <c r="H68" s="5" t="s">
        <v>288</v>
      </c>
      <c r="I68" s="5" t="s">
        <v>289</v>
      </c>
      <c r="J68" s="5" t="n">
        <v>2025</v>
      </c>
      <c r="K68" s="5" t="s">
        <v>276</v>
      </c>
      <c r="L68" s="5" t="s">
        <v>290</v>
      </c>
      <c r="M68" s="5" t="s">
        <v>2059</v>
      </c>
      <c r="N68" s="5"/>
    </row>
    <row r="69" customFormat="false" ht="216.4" hidden="false" customHeight="false" outlineLevel="0" collapsed="false">
      <c r="A69" s="5" t="s">
        <v>2060</v>
      </c>
      <c r="B69" s="5" t="s">
        <v>39</v>
      </c>
      <c r="C69" s="5" t="s">
        <v>72</v>
      </c>
      <c r="D69" s="16" t="n">
        <v>46197</v>
      </c>
      <c r="E69" s="5" t="s">
        <v>405</v>
      </c>
      <c r="F69" s="5" t="n">
        <v>10</v>
      </c>
      <c r="G69" s="5" t="s">
        <v>385</v>
      </c>
      <c r="H69" s="5" t="s">
        <v>279</v>
      </c>
      <c r="I69" s="5" t="s">
        <v>280</v>
      </c>
      <c r="J69" s="5" t="n">
        <v>2025</v>
      </c>
      <c r="K69" s="5" t="s">
        <v>223</v>
      </c>
      <c r="L69" s="5" t="s">
        <v>281</v>
      </c>
      <c r="M69" s="5" t="s">
        <v>2061</v>
      </c>
      <c r="N69" s="5" t="s">
        <v>1071</v>
      </c>
    </row>
    <row r="70" customFormat="false" ht="216.4" hidden="false" customHeight="false" outlineLevel="0" collapsed="false">
      <c r="A70" s="5" t="s">
        <v>2062</v>
      </c>
      <c r="B70" s="5" t="s">
        <v>39</v>
      </c>
      <c r="C70" s="5" t="s">
        <v>72</v>
      </c>
      <c r="D70" s="16" t="n">
        <v>46197</v>
      </c>
      <c r="E70" s="5" t="s">
        <v>405</v>
      </c>
      <c r="F70" s="5" t="n">
        <v>11</v>
      </c>
      <c r="G70" s="5" t="s">
        <v>385</v>
      </c>
      <c r="H70" s="5" t="s">
        <v>266</v>
      </c>
      <c r="I70" s="5" t="s">
        <v>267</v>
      </c>
      <c r="J70" s="5" t="n">
        <v>2025</v>
      </c>
      <c r="K70" s="5" t="s">
        <v>268</v>
      </c>
      <c r="L70" s="5" t="s">
        <v>269</v>
      </c>
      <c r="M70" s="5" t="s">
        <v>2063</v>
      </c>
      <c r="N70" s="5" t="s">
        <v>546</v>
      </c>
    </row>
    <row r="71" customFormat="false" ht="41.75" hidden="false" customHeight="false" outlineLevel="0" collapsed="false">
      <c r="A71" s="5" t="s">
        <v>2064</v>
      </c>
      <c r="B71" s="5" t="s">
        <v>39</v>
      </c>
      <c r="C71" s="5" t="s">
        <v>72</v>
      </c>
      <c r="D71" s="16" t="n">
        <v>46197</v>
      </c>
      <c r="E71" s="5" t="s">
        <v>405</v>
      </c>
      <c r="F71" s="5" t="n">
        <v>12</v>
      </c>
      <c r="G71" s="5" t="s">
        <v>385</v>
      </c>
      <c r="H71" s="5" t="s">
        <v>706</v>
      </c>
      <c r="I71" s="5" t="s">
        <v>707</v>
      </c>
      <c r="J71" s="5" t="n">
        <v>2025</v>
      </c>
      <c r="K71" s="5" t="s">
        <v>276</v>
      </c>
      <c r="L71" s="5" t="s">
        <v>708</v>
      </c>
      <c r="M71" s="5"/>
      <c r="N71" s="5"/>
    </row>
    <row r="72" customFormat="false" ht="229.85" hidden="false" customHeight="false" outlineLevel="0" collapsed="false">
      <c r="A72" s="5" t="s">
        <v>2065</v>
      </c>
      <c r="B72" s="5" t="s">
        <v>39</v>
      </c>
      <c r="C72" s="5" t="s">
        <v>72</v>
      </c>
      <c r="D72" s="16" t="n">
        <v>46197</v>
      </c>
      <c r="E72" s="5" t="s">
        <v>405</v>
      </c>
      <c r="F72" s="5" t="n">
        <v>13</v>
      </c>
      <c r="G72" s="5" t="s">
        <v>385</v>
      </c>
      <c r="H72" s="5" t="s">
        <v>917</v>
      </c>
      <c r="I72" s="5" t="s">
        <v>918</v>
      </c>
      <c r="J72" s="5" t="n">
        <v>2025</v>
      </c>
      <c r="K72" s="5" t="s">
        <v>276</v>
      </c>
      <c r="L72" s="5" t="s">
        <v>919</v>
      </c>
      <c r="M72" s="5" t="s">
        <v>2066</v>
      </c>
      <c r="N72" s="5" t="s">
        <v>920</v>
      </c>
    </row>
    <row r="73" customFormat="false" ht="229.85" hidden="false" customHeight="false" outlineLevel="0" collapsed="false">
      <c r="A73" s="5" t="s">
        <v>2067</v>
      </c>
      <c r="B73" s="5" t="s">
        <v>39</v>
      </c>
      <c r="C73" s="5" t="s">
        <v>72</v>
      </c>
      <c r="D73" s="16" t="n">
        <v>46197</v>
      </c>
      <c r="E73" s="5" t="s">
        <v>405</v>
      </c>
      <c r="F73" s="5" t="n">
        <v>14</v>
      </c>
      <c r="G73" s="5" t="s">
        <v>385</v>
      </c>
      <c r="H73" s="5" t="s">
        <v>540</v>
      </c>
      <c r="I73" s="5" t="s">
        <v>541</v>
      </c>
      <c r="J73" s="5" t="n">
        <v>2024</v>
      </c>
      <c r="K73" s="5" t="s">
        <v>276</v>
      </c>
      <c r="L73" s="5" t="s">
        <v>542</v>
      </c>
      <c r="M73" s="5" t="s">
        <v>2068</v>
      </c>
      <c r="N73" s="5" t="s">
        <v>543</v>
      </c>
    </row>
    <row r="74" customFormat="false" ht="256.7" hidden="false" customHeight="false" outlineLevel="0" collapsed="false">
      <c r="A74" s="5" t="s">
        <v>2069</v>
      </c>
      <c r="B74" s="5" t="s">
        <v>39</v>
      </c>
      <c r="C74" s="5" t="s">
        <v>72</v>
      </c>
      <c r="D74" s="16" t="n">
        <v>46197</v>
      </c>
      <c r="E74" s="5" t="s">
        <v>405</v>
      </c>
      <c r="F74" s="5" t="n">
        <v>15</v>
      </c>
      <c r="G74" s="5" t="s">
        <v>385</v>
      </c>
      <c r="H74" s="5" t="s">
        <v>1073</v>
      </c>
      <c r="I74" s="5" t="s">
        <v>1074</v>
      </c>
      <c r="J74" s="5" t="n">
        <v>2019</v>
      </c>
      <c r="K74" s="5" t="s">
        <v>204</v>
      </c>
      <c r="L74" s="5" t="s">
        <v>1075</v>
      </c>
      <c r="M74" s="5" t="s">
        <v>2070</v>
      </c>
      <c r="N74" s="5" t="s">
        <v>1076</v>
      </c>
    </row>
    <row r="75" customFormat="false" ht="270.1" hidden="false" customHeight="false" outlineLevel="0" collapsed="false">
      <c r="A75" s="5" t="s">
        <v>2071</v>
      </c>
      <c r="B75" s="5" t="s">
        <v>39</v>
      </c>
      <c r="C75" s="5" t="s">
        <v>72</v>
      </c>
      <c r="D75" s="16" t="n">
        <v>46197</v>
      </c>
      <c r="E75" s="5" t="s">
        <v>405</v>
      </c>
      <c r="F75" s="5" t="n">
        <v>16</v>
      </c>
      <c r="G75" s="5" t="s">
        <v>385</v>
      </c>
      <c r="H75" s="5" t="s">
        <v>895</v>
      </c>
      <c r="I75" s="5" t="s">
        <v>896</v>
      </c>
      <c r="J75" s="5" t="n">
        <v>2024</v>
      </c>
      <c r="K75" s="5" t="s">
        <v>897</v>
      </c>
      <c r="L75" s="5" t="s">
        <v>898</v>
      </c>
      <c r="M75" s="5" t="s">
        <v>2072</v>
      </c>
      <c r="N75" s="5" t="s">
        <v>899</v>
      </c>
    </row>
    <row r="76" customFormat="false" ht="216.4" hidden="false" customHeight="false" outlineLevel="0" collapsed="false">
      <c r="A76" s="5" t="s">
        <v>2073</v>
      </c>
      <c r="B76" s="5" t="s">
        <v>39</v>
      </c>
      <c r="C76" s="5" t="s">
        <v>72</v>
      </c>
      <c r="D76" s="16" t="n">
        <v>46197</v>
      </c>
      <c r="E76" s="5" t="s">
        <v>405</v>
      </c>
      <c r="F76" s="5" t="n">
        <v>17</v>
      </c>
      <c r="G76" s="5" t="s">
        <v>385</v>
      </c>
      <c r="H76" s="5" t="s">
        <v>853</v>
      </c>
      <c r="I76" s="5" t="s">
        <v>854</v>
      </c>
      <c r="J76" s="5" t="n">
        <v>2025</v>
      </c>
      <c r="K76" s="5" t="s">
        <v>855</v>
      </c>
      <c r="L76" s="5" t="s">
        <v>856</v>
      </c>
      <c r="M76" s="5" t="s">
        <v>2074</v>
      </c>
      <c r="N76" s="5" t="s">
        <v>857</v>
      </c>
    </row>
    <row r="77" customFormat="false" ht="189.55" hidden="false" customHeight="false" outlineLevel="0" collapsed="false">
      <c r="A77" s="5" t="s">
        <v>2075</v>
      </c>
      <c r="B77" s="5" t="s">
        <v>39</v>
      </c>
      <c r="C77" s="5" t="s">
        <v>72</v>
      </c>
      <c r="D77" s="16" t="n">
        <v>46197</v>
      </c>
      <c r="E77" s="5" t="s">
        <v>405</v>
      </c>
      <c r="F77" s="5" t="n">
        <v>18</v>
      </c>
      <c r="G77" s="5" t="s">
        <v>385</v>
      </c>
      <c r="H77" s="5" t="s">
        <v>1162</v>
      </c>
      <c r="I77" s="5" t="s">
        <v>1163</v>
      </c>
      <c r="J77" s="5" t="n">
        <v>2025</v>
      </c>
      <c r="K77" s="5" t="s">
        <v>249</v>
      </c>
      <c r="L77" s="5" t="s">
        <v>1164</v>
      </c>
      <c r="M77" s="5" t="s">
        <v>2076</v>
      </c>
      <c r="N77" s="5" t="s">
        <v>1165</v>
      </c>
    </row>
    <row r="78" customFormat="false" ht="229.85" hidden="false" customHeight="false" outlineLevel="0" collapsed="false">
      <c r="A78" s="5" t="s">
        <v>2077</v>
      </c>
      <c r="B78" s="5" t="s">
        <v>39</v>
      </c>
      <c r="C78" s="5" t="s">
        <v>72</v>
      </c>
      <c r="D78" s="16" t="n">
        <v>46197</v>
      </c>
      <c r="E78" s="5" t="s">
        <v>405</v>
      </c>
      <c r="F78" s="5" t="n">
        <v>19</v>
      </c>
      <c r="G78" s="5" t="s">
        <v>385</v>
      </c>
      <c r="H78" s="5" t="s">
        <v>736</v>
      </c>
      <c r="I78" s="5" t="s">
        <v>737</v>
      </c>
      <c r="J78" s="5" t="n">
        <v>2025</v>
      </c>
      <c r="K78" s="5" t="s">
        <v>453</v>
      </c>
      <c r="L78" s="5" t="s">
        <v>738</v>
      </c>
      <c r="M78" s="5" t="s">
        <v>2078</v>
      </c>
      <c r="N78" s="5" t="s">
        <v>739</v>
      </c>
    </row>
    <row r="79" customFormat="false" ht="122.35" hidden="false" customHeight="false" outlineLevel="0" collapsed="false">
      <c r="A79" s="5" t="s">
        <v>2079</v>
      </c>
      <c r="B79" s="5" t="s">
        <v>39</v>
      </c>
      <c r="C79" s="5" t="s">
        <v>72</v>
      </c>
      <c r="D79" s="16" t="n">
        <v>46197</v>
      </c>
      <c r="E79" s="5" t="s">
        <v>405</v>
      </c>
      <c r="F79" s="5" t="n">
        <v>20</v>
      </c>
      <c r="G79" s="5" t="s">
        <v>385</v>
      </c>
      <c r="H79" s="5" t="s">
        <v>188</v>
      </c>
      <c r="I79" s="5" t="s">
        <v>189</v>
      </c>
      <c r="J79" s="5" t="n">
        <v>2019</v>
      </c>
      <c r="K79" s="5" t="s">
        <v>190</v>
      </c>
      <c r="L79" s="5" t="s">
        <v>191</v>
      </c>
      <c r="M79" s="5" t="s">
        <v>2080</v>
      </c>
      <c r="N79" s="5" t="s">
        <v>473</v>
      </c>
    </row>
    <row r="80" customFormat="false" ht="243.25" hidden="false" customHeight="false" outlineLevel="0" collapsed="false">
      <c r="A80" s="5" t="s">
        <v>2081</v>
      </c>
      <c r="B80" s="5" t="s">
        <v>39</v>
      </c>
      <c r="C80" s="5" t="s">
        <v>72</v>
      </c>
      <c r="D80" s="16" t="n">
        <v>46197</v>
      </c>
      <c r="E80" s="5" t="s">
        <v>405</v>
      </c>
      <c r="F80" s="5" t="n">
        <v>21</v>
      </c>
      <c r="G80" s="5" t="s">
        <v>385</v>
      </c>
      <c r="H80" s="5" t="s">
        <v>665</v>
      </c>
      <c r="I80" s="5" t="s">
        <v>666</v>
      </c>
      <c r="J80" s="5" t="n">
        <v>2025</v>
      </c>
      <c r="K80" s="5" t="s">
        <v>667</v>
      </c>
      <c r="L80" s="5" t="s">
        <v>668</v>
      </c>
      <c r="M80" s="5" t="s">
        <v>2082</v>
      </c>
      <c r="N80" s="5" t="s">
        <v>669</v>
      </c>
    </row>
    <row r="81" customFormat="false" ht="189.55" hidden="false" customHeight="false" outlineLevel="0" collapsed="false">
      <c r="A81" s="5" t="s">
        <v>2083</v>
      </c>
      <c r="B81" s="5" t="s">
        <v>39</v>
      </c>
      <c r="C81" s="5" t="s">
        <v>72</v>
      </c>
      <c r="D81" s="16" t="n">
        <v>46197</v>
      </c>
      <c r="E81" s="5" t="s">
        <v>405</v>
      </c>
      <c r="F81" s="5" t="n">
        <v>22</v>
      </c>
      <c r="G81" s="5" t="s">
        <v>385</v>
      </c>
      <c r="H81" s="5" t="s">
        <v>451</v>
      </c>
      <c r="I81" s="5" t="s">
        <v>452</v>
      </c>
      <c r="J81" s="5" t="n">
        <v>2022</v>
      </c>
      <c r="K81" s="5" t="s">
        <v>453</v>
      </c>
      <c r="L81" s="5" t="s">
        <v>454</v>
      </c>
      <c r="M81" s="5" t="s">
        <v>2084</v>
      </c>
      <c r="N81" s="5" t="s">
        <v>455</v>
      </c>
    </row>
    <row r="82" customFormat="false" ht="216.4" hidden="false" customHeight="false" outlineLevel="0" collapsed="false">
      <c r="A82" s="5" t="s">
        <v>2085</v>
      </c>
      <c r="B82" s="5" t="s">
        <v>39</v>
      </c>
      <c r="C82" s="5" t="s">
        <v>72</v>
      </c>
      <c r="D82" s="16" t="n">
        <v>46197</v>
      </c>
      <c r="E82" s="5" t="s">
        <v>405</v>
      </c>
      <c r="F82" s="5" t="n">
        <v>23</v>
      </c>
      <c r="G82" s="5" t="s">
        <v>385</v>
      </c>
      <c r="H82" s="5" t="s">
        <v>1017</v>
      </c>
      <c r="I82" s="5" t="s">
        <v>1018</v>
      </c>
      <c r="J82" s="5" t="n">
        <v>2024</v>
      </c>
      <c r="K82" s="5" t="s">
        <v>223</v>
      </c>
      <c r="L82" s="5" t="s">
        <v>1019</v>
      </c>
      <c r="M82" s="5" t="s">
        <v>2086</v>
      </c>
      <c r="N82" s="5" t="s">
        <v>1020</v>
      </c>
    </row>
    <row r="83" customFormat="false" ht="149.25" hidden="false" customHeight="false" outlineLevel="0" collapsed="false">
      <c r="A83" s="5" t="s">
        <v>2087</v>
      </c>
      <c r="B83" s="5" t="s">
        <v>39</v>
      </c>
      <c r="C83" s="5" t="s">
        <v>72</v>
      </c>
      <c r="D83" s="16" t="n">
        <v>46197</v>
      </c>
      <c r="E83" s="5" t="s">
        <v>405</v>
      </c>
      <c r="F83" s="5" t="n">
        <v>24</v>
      </c>
      <c r="G83" s="5" t="s">
        <v>385</v>
      </c>
      <c r="H83" s="5" t="s">
        <v>874</v>
      </c>
      <c r="I83" s="5" t="s">
        <v>875</v>
      </c>
      <c r="J83" s="5" t="n">
        <v>2024</v>
      </c>
      <c r="K83" s="5" t="s">
        <v>654</v>
      </c>
      <c r="L83" s="5" t="s">
        <v>876</v>
      </c>
      <c r="M83" s="5" t="s">
        <v>2088</v>
      </c>
      <c r="N83" s="5" t="s">
        <v>877</v>
      </c>
    </row>
    <row r="84" customFormat="false" ht="256.7" hidden="false" customHeight="false" outlineLevel="0" collapsed="false">
      <c r="A84" s="5" t="s">
        <v>2089</v>
      </c>
      <c r="B84" s="5" t="s">
        <v>39</v>
      </c>
      <c r="C84" s="5" t="s">
        <v>72</v>
      </c>
      <c r="D84" s="16" t="n">
        <v>46197</v>
      </c>
      <c r="E84" s="5" t="s">
        <v>405</v>
      </c>
      <c r="F84" s="5" t="n">
        <v>25</v>
      </c>
      <c r="G84" s="5" t="s">
        <v>385</v>
      </c>
      <c r="H84" s="5" t="s">
        <v>884</v>
      </c>
      <c r="I84" s="5" t="s">
        <v>885</v>
      </c>
      <c r="J84" s="5" t="n">
        <v>2025</v>
      </c>
      <c r="K84" s="5" t="s">
        <v>886</v>
      </c>
      <c r="L84" s="5" t="s">
        <v>887</v>
      </c>
      <c r="M84" s="5" t="s">
        <v>2090</v>
      </c>
      <c r="N84" s="5" t="s">
        <v>888</v>
      </c>
    </row>
    <row r="85" customFormat="false" ht="189.55" hidden="false" customHeight="false" outlineLevel="0" collapsed="false">
      <c r="A85" s="5" t="s">
        <v>2091</v>
      </c>
      <c r="B85" s="5" t="s">
        <v>39</v>
      </c>
      <c r="C85" s="5" t="s">
        <v>72</v>
      </c>
      <c r="D85" s="16" t="n">
        <v>46197</v>
      </c>
      <c r="E85" s="5" t="s">
        <v>405</v>
      </c>
      <c r="F85" s="5" t="n">
        <v>26</v>
      </c>
      <c r="G85" s="5" t="s">
        <v>385</v>
      </c>
      <c r="H85" s="5" t="s">
        <v>967</v>
      </c>
      <c r="I85" s="5" t="s">
        <v>968</v>
      </c>
      <c r="J85" s="5" t="n">
        <v>2021</v>
      </c>
      <c r="K85" s="5" t="s">
        <v>453</v>
      </c>
      <c r="L85" s="5" t="s">
        <v>969</v>
      </c>
      <c r="M85" s="5" t="s">
        <v>2092</v>
      </c>
      <c r="N85" s="5" t="s">
        <v>970</v>
      </c>
    </row>
    <row r="86" customFormat="false" ht="243.25" hidden="false" customHeight="false" outlineLevel="0" collapsed="false">
      <c r="A86" s="5" t="s">
        <v>2093</v>
      </c>
      <c r="B86" s="5" t="s">
        <v>39</v>
      </c>
      <c r="C86" s="5" t="s">
        <v>72</v>
      </c>
      <c r="D86" s="16" t="n">
        <v>46197</v>
      </c>
      <c r="E86" s="5" t="s">
        <v>405</v>
      </c>
      <c r="F86" s="5" t="n">
        <v>27</v>
      </c>
      <c r="G86" s="5" t="s">
        <v>385</v>
      </c>
      <c r="H86" s="5" t="s">
        <v>552</v>
      </c>
      <c r="I86" s="5" t="s">
        <v>553</v>
      </c>
      <c r="J86" s="5" t="n">
        <v>2023</v>
      </c>
      <c r="K86" s="5" t="s">
        <v>276</v>
      </c>
      <c r="L86" s="5" t="s">
        <v>554</v>
      </c>
      <c r="M86" s="5" t="s">
        <v>2094</v>
      </c>
      <c r="N86" s="5" t="s">
        <v>555</v>
      </c>
    </row>
    <row r="87" customFormat="false" ht="202.95" hidden="false" customHeight="false" outlineLevel="0" collapsed="false">
      <c r="A87" s="5" t="s">
        <v>2095</v>
      </c>
      <c r="B87" s="5" t="s">
        <v>39</v>
      </c>
      <c r="C87" s="5" t="s">
        <v>72</v>
      </c>
      <c r="D87" s="16" t="n">
        <v>46197</v>
      </c>
      <c r="E87" s="5" t="s">
        <v>405</v>
      </c>
      <c r="F87" s="5" t="n">
        <v>28</v>
      </c>
      <c r="G87" s="5" t="s">
        <v>385</v>
      </c>
      <c r="H87" s="5" t="s">
        <v>432</v>
      </c>
      <c r="I87" s="5" t="s">
        <v>433</v>
      </c>
      <c r="J87" s="5" t="n">
        <v>2025</v>
      </c>
      <c r="K87" s="5" t="s">
        <v>434</v>
      </c>
      <c r="L87" s="5" t="s">
        <v>435</v>
      </c>
      <c r="M87" s="5" t="s">
        <v>2096</v>
      </c>
      <c r="N87" s="5" t="s">
        <v>437</v>
      </c>
    </row>
    <row r="88" customFormat="false" ht="176.1" hidden="false" customHeight="false" outlineLevel="0" collapsed="false">
      <c r="A88" s="5" t="s">
        <v>2097</v>
      </c>
      <c r="B88" s="5" t="s">
        <v>39</v>
      </c>
      <c r="C88" s="5" t="s">
        <v>72</v>
      </c>
      <c r="D88" s="16" t="n">
        <v>46197</v>
      </c>
      <c r="E88" s="5" t="s">
        <v>405</v>
      </c>
      <c r="F88" s="5" t="n">
        <v>29</v>
      </c>
      <c r="G88" s="5" t="s">
        <v>385</v>
      </c>
      <c r="H88" s="5" t="s">
        <v>1022</v>
      </c>
      <c r="I88" s="5" t="s">
        <v>1023</v>
      </c>
      <c r="J88" s="5" t="n">
        <v>2022</v>
      </c>
      <c r="K88" s="5" t="s">
        <v>654</v>
      </c>
      <c r="L88" s="5" t="s">
        <v>1024</v>
      </c>
      <c r="M88" s="5" t="s">
        <v>2098</v>
      </c>
      <c r="N88" s="5" t="s">
        <v>1025</v>
      </c>
    </row>
    <row r="89" customFormat="false" ht="189.55" hidden="false" customHeight="false" outlineLevel="0" collapsed="false">
      <c r="A89" s="5" t="s">
        <v>2099</v>
      </c>
      <c r="B89" s="5" t="s">
        <v>39</v>
      </c>
      <c r="C89" s="5" t="s">
        <v>72</v>
      </c>
      <c r="D89" s="16" t="n">
        <v>46197</v>
      </c>
      <c r="E89" s="5" t="s">
        <v>405</v>
      </c>
      <c r="F89" s="5" t="n">
        <v>30</v>
      </c>
      <c r="G89" s="5" t="s">
        <v>385</v>
      </c>
      <c r="H89" s="5" t="s">
        <v>1048</v>
      </c>
      <c r="I89" s="5" t="s">
        <v>1049</v>
      </c>
      <c r="J89" s="5" t="n">
        <v>2025</v>
      </c>
      <c r="K89" s="5" t="s">
        <v>204</v>
      </c>
      <c r="L89" s="5" t="s">
        <v>1050</v>
      </c>
      <c r="M89" s="5" t="s">
        <v>2100</v>
      </c>
      <c r="N89" s="5" t="s">
        <v>1051</v>
      </c>
    </row>
    <row r="90" customFormat="false" ht="471.6" hidden="false" customHeight="false" outlineLevel="0" collapsed="false">
      <c r="A90" s="5" t="s">
        <v>2101</v>
      </c>
      <c r="B90" s="5" t="s">
        <v>39</v>
      </c>
      <c r="C90" s="5" t="s">
        <v>72</v>
      </c>
      <c r="D90" s="16" t="n">
        <v>46197</v>
      </c>
      <c r="E90" s="5" t="s">
        <v>405</v>
      </c>
      <c r="F90" s="5" t="n">
        <v>31</v>
      </c>
      <c r="G90" s="5" t="s">
        <v>385</v>
      </c>
      <c r="H90" s="5" t="s">
        <v>1146</v>
      </c>
      <c r="I90" s="5" t="s">
        <v>1147</v>
      </c>
      <c r="J90" s="5" t="n">
        <v>2024</v>
      </c>
      <c r="K90" s="5" t="s">
        <v>1148</v>
      </c>
      <c r="L90" s="5" t="s">
        <v>1149</v>
      </c>
      <c r="M90" s="5"/>
      <c r="N90" s="5" t="s">
        <v>1150</v>
      </c>
    </row>
    <row r="91" customFormat="false" ht="216.4" hidden="false" customHeight="false" outlineLevel="0" collapsed="false">
      <c r="A91" s="5" t="s">
        <v>2102</v>
      </c>
      <c r="B91" s="5" t="s">
        <v>39</v>
      </c>
      <c r="C91" s="5" t="s">
        <v>72</v>
      </c>
      <c r="D91" s="16" t="n">
        <v>46197</v>
      </c>
      <c r="E91" s="5" t="s">
        <v>405</v>
      </c>
      <c r="F91" s="5" t="n">
        <v>32</v>
      </c>
      <c r="G91" s="5" t="s">
        <v>385</v>
      </c>
      <c r="H91" s="5" t="s">
        <v>1184</v>
      </c>
      <c r="I91" s="5" t="s">
        <v>1185</v>
      </c>
      <c r="J91" s="5" t="n">
        <v>2025</v>
      </c>
      <c r="K91" s="5" t="s">
        <v>276</v>
      </c>
      <c r="L91" s="5" t="s">
        <v>1186</v>
      </c>
      <c r="M91" s="5" t="s">
        <v>2103</v>
      </c>
      <c r="N91" s="5" t="s">
        <v>1187</v>
      </c>
    </row>
    <row r="92" customFormat="false" ht="189.55" hidden="false" customHeight="false" outlineLevel="0" collapsed="false">
      <c r="A92" s="5" t="s">
        <v>2104</v>
      </c>
      <c r="B92" s="5" t="s">
        <v>39</v>
      </c>
      <c r="C92" s="5" t="s">
        <v>72</v>
      </c>
      <c r="D92" s="16" t="n">
        <v>46197</v>
      </c>
      <c r="E92" s="5" t="s">
        <v>405</v>
      </c>
      <c r="F92" s="5" t="n">
        <v>33</v>
      </c>
      <c r="G92" s="5" t="s">
        <v>385</v>
      </c>
      <c r="H92" s="5" t="s">
        <v>1027</v>
      </c>
      <c r="I92" s="5" t="s">
        <v>1028</v>
      </c>
      <c r="J92" s="5" t="n">
        <v>2024</v>
      </c>
      <c r="K92" s="5" t="s">
        <v>403</v>
      </c>
      <c r="L92" s="5" t="s">
        <v>1029</v>
      </c>
      <c r="M92" s="5" t="s">
        <v>2105</v>
      </c>
      <c r="N92" s="5" t="s">
        <v>1030</v>
      </c>
    </row>
    <row r="93" customFormat="false" ht="189.55" hidden="false" customHeight="false" outlineLevel="0" collapsed="false">
      <c r="A93" s="5" t="s">
        <v>2106</v>
      </c>
      <c r="B93" s="5" t="s">
        <v>39</v>
      </c>
      <c r="C93" s="5" t="s">
        <v>72</v>
      </c>
      <c r="D93" s="16" t="n">
        <v>46197</v>
      </c>
      <c r="E93" s="5" t="s">
        <v>405</v>
      </c>
      <c r="F93" s="5" t="n">
        <v>34</v>
      </c>
      <c r="G93" s="5" t="s">
        <v>385</v>
      </c>
      <c r="H93" s="5" t="s">
        <v>1218</v>
      </c>
      <c r="I93" s="5" t="s">
        <v>1219</v>
      </c>
      <c r="J93" s="5" t="n">
        <v>2024</v>
      </c>
      <c r="K93" s="5" t="s">
        <v>223</v>
      </c>
      <c r="L93" s="5" t="s">
        <v>1220</v>
      </c>
      <c r="M93" s="5" t="s">
        <v>2107</v>
      </c>
      <c r="N93" s="5" t="s">
        <v>1221</v>
      </c>
    </row>
    <row r="94" customFormat="false" ht="149.25" hidden="false" customHeight="false" outlineLevel="0" collapsed="false">
      <c r="A94" s="5" t="s">
        <v>2108</v>
      </c>
      <c r="B94" s="5" t="s">
        <v>39</v>
      </c>
      <c r="C94" s="5" t="s">
        <v>72</v>
      </c>
      <c r="D94" s="16" t="n">
        <v>46197</v>
      </c>
      <c r="E94" s="5" t="s">
        <v>405</v>
      </c>
      <c r="F94" s="5" t="n">
        <v>35</v>
      </c>
      <c r="G94" s="5" t="s">
        <v>385</v>
      </c>
      <c r="H94" s="5" t="s">
        <v>730</v>
      </c>
      <c r="I94" s="5" t="s">
        <v>731</v>
      </c>
      <c r="J94" s="5" t="n">
        <v>2025</v>
      </c>
      <c r="K94" s="5" t="s">
        <v>732</v>
      </c>
      <c r="L94" s="5" t="s">
        <v>733</v>
      </c>
      <c r="M94" s="5" t="s">
        <v>2109</v>
      </c>
      <c r="N94" s="5" t="s">
        <v>734</v>
      </c>
    </row>
    <row r="95" customFormat="false" ht="149.25" hidden="false" customHeight="false" outlineLevel="0" collapsed="false">
      <c r="A95" s="5" t="s">
        <v>2110</v>
      </c>
      <c r="B95" s="5" t="s">
        <v>39</v>
      </c>
      <c r="C95" s="5" t="s">
        <v>72</v>
      </c>
      <c r="D95" s="16" t="n">
        <v>46197</v>
      </c>
      <c r="E95" s="5" t="s">
        <v>405</v>
      </c>
      <c r="F95" s="5" t="n">
        <v>36</v>
      </c>
      <c r="G95" s="5" t="s">
        <v>385</v>
      </c>
      <c r="H95" s="5" t="s">
        <v>933</v>
      </c>
      <c r="I95" s="5" t="s">
        <v>934</v>
      </c>
      <c r="J95" s="5" t="n">
        <v>2025</v>
      </c>
      <c r="K95" s="5" t="s">
        <v>732</v>
      </c>
      <c r="L95" s="5" t="s">
        <v>935</v>
      </c>
      <c r="M95" s="5" t="s">
        <v>2111</v>
      </c>
      <c r="N95" s="5" t="s">
        <v>936</v>
      </c>
    </row>
    <row r="96" customFormat="false" ht="229.85" hidden="false" customHeight="false" outlineLevel="0" collapsed="false">
      <c r="A96" s="5" t="s">
        <v>2112</v>
      </c>
      <c r="B96" s="5" t="s">
        <v>39</v>
      </c>
      <c r="C96" s="5" t="s">
        <v>72</v>
      </c>
      <c r="D96" s="16" t="n">
        <v>46197</v>
      </c>
      <c r="E96" s="5" t="s">
        <v>405</v>
      </c>
      <c r="F96" s="5" t="n">
        <v>37</v>
      </c>
      <c r="G96" s="5" t="s">
        <v>385</v>
      </c>
      <c r="H96" s="5" t="s">
        <v>692</v>
      </c>
      <c r="I96" s="5" t="s">
        <v>693</v>
      </c>
      <c r="J96" s="5" t="n">
        <v>2024</v>
      </c>
      <c r="K96" s="5" t="s">
        <v>249</v>
      </c>
      <c r="L96" s="5" t="s">
        <v>694</v>
      </c>
      <c r="M96" s="5" t="s">
        <v>2113</v>
      </c>
      <c r="N96" s="5" t="s">
        <v>695</v>
      </c>
    </row>
    <row r="97" customFormat="false" ht="189.55" hidden="false" customHeight="false" outlineLevel="0" collapsed="false">
      <c r="A97" s="5" t="s">
        <v>2114</v>
      </c>
      <c r="B97" s="5" t="s">
        <v>39</v>
      </c>
      <c r="C97" s="5" t="s">
        <v>72</v>
      </c>
      <c r="D97" s="16" t="n">
        <v>46197</v>
      </c>
      <c r="E97" s="5" t="s">
        <v>405</v>
      </c>
      <c r="F97" s="5" t="n">
        <v>38</v>
      </c>
      <c r="G97" s="5" t="s">
        <v>385</v>
      </c>
      <c r="H97" s="5" t="s">
        <v>479</v>
      </c>
      <c r="I97" s="5" t="s">
        <v>480</v>
      </c>
      <c r="J97" s="5" t="n">
        <v>2019</v>
      </c>
      <c r="K97" s="5" t="s">
        <v>244</v>
      </c>
      <c r="L97" s="5" t="s">
        <v>481</v>
      </c>
      <c r="M97" s="5" t="s">
        <v>2115</v>
      </c>
      <c r="N97" s="5" t="s">
        <v>483</v>
      </c>
    </row>
    <row r="98" customFormat="false" ht="310.4" hidden="false" customHeight="false" outlineLevel="0" collapsed="false">
      <c r="A98" s="5" t="s">
        <v>2116</v>
      </c>
      <c r="B98" s="5" t="s">
        <v>39</v>
      </c>
      <c r="C98" s="5" t="s">
        <v>72</v>
      </c>
      <c r="D98" s="16" t="n">
        <v>46197</v>
      </c>
      <c r="E98" s="5" t="s">
        <v>405</v>
      </c>
      <c r="F98" s="5" t="n">
        <v>39</v>
      </c>
      <c r="G98" s="5" t="s">
        <v>385</v>
      </c>
      <c r="H98" s="5" t="s">
        <v>619</v>
      </c>
      <c r="I98" s="5" t="s">
        <v>620</v>
      </c>
      <c r="J98" s="5" t="n">
        <v>2021</v>
      </c>
      <c r="K98" s="5" t="s">
        <v>453</v>
      </c>
      <c r="L98" s="5" t="s">
        <v>621</v>
      </c>
      <c r="M98" s="5" t="s">
        <v>2117</v>
      </c>
      <c r="N98" s="5" t="s">
        <v>622</v>
      </c>
    </row>
    <row r="99" customFormat="false" ht="189.55" hidden="false" customHeight="false" outlineLevel="0" collapsed="false">
      <c r="A99" s="5" t="s">
        <v>2118</v>
      </c>
      <c r="B99" s="5" t="s">
        <v>39</v>
      </c>
      <c r="C99" s="5" t="s">
        <v>72</v>
      </c>
      <c r="D99" s="16" t="n">
        <v>46197</v>
      </c>
      <c r="E99" s="5" t="s">
        <v>405</v>
      </c>
      <c r="F99" s="5" t="n">
        <v>40</v>
      </c>
      <c r="G99" s="5" t="s">
        <v>385</v>
      </c>
      <c r="H99" s="5" t="s">
        <v>912</v>
      </c>
      <c r="I99" s="5" t="s">
        <v>913</v>
      </c>
      <c r="J99" s="5" t="n">
        <v>2022</v>
      </c>
      <c r="K99" s="5" t="s">
        <v>276</v>
      </c>
      <c r="L99" s="5" t="s">
        <v>914</v>
      </c>
      <c r="M99" s="5" t="s">
        <v>2119</v>
      </c>
      <c r="N99" s="5" t="s">
        <v>915</v>
      </c>
    </row>
    <row r="100" customFormat="false" ht="323.85" hidden="false" customHeight="false" outlineLevel="0" collapsed="false">
      <c r="A100" s="5" t="s">
        <v>2120</v>
      </c>
      <c r="B100" s="5" t="s">
        <v>39</v>
      </c>
      <c r="C100" s="5" t="s">
        <v>72</v>
      </c>
      <c r="D100" s="16" t="n">
        <v>46197</v>
      </c>
      <c r="E100" s="5" t="s">
        <v>405</v>
      </c>
      <c r="F100" s="5" t="n">
        <v>41</v>
      </c>
      <c r="G100" s="5" t="s">
        <v>385</v>
      </c>
      <c r="H100" s="5" t="s">
        <v>634</v>
      </c>
      <c r="I100" s="5" t="s">
        <v>635</v>
      </c>
      <c r="J100" s="5" t="n">
        <v>2024</v>
      </c>
      <c r="K100" s="5" t="s">
        <v>636</v>
      </c>
      <c r="L100" s="5" t="s">
        <v>637</v>
      </c>
      <c r="M100" s="5" t="s">
        <v>2121</v>
      </c>
      <c r="N100" s="5" t="s">
        <v>638</v>
      </c>
    </row>
    <row r="101" customFormat="false" ht="229.85" hidden="false" customHeight="false" outlineLevel="0" collapsed="false">
      <c r="A101" s="5" t="s">
        <v>2122</v>
      </c>
      <c r="B101" s="5" t="s">
        <v>39</v>
      </c>
      <c r="C101" s="5" t="s">
        <v>72</v>
      </c>
      <c r="D101" s="16" t="n">
        <v>46197</v>
      </c>
      <c r="E101" s="5" t="s">
        <v>405</v>
      </c>
      <c r="F101" s="5" t="n">
        <v>42</v>
      </c>
      <c r="G101" s="5" t="s">
        <v>385</v>
      </c>
      <c r="H101" s="5" t="s">
        <v>1096</v>
      </c>
      <c r="I101" s="5" t="s">
        <v>1097</v>
      </c>
      <c r="J101" s="5" t="n">
        <v>2020</v>
      </c>
      <c r="K101" s="5" t="s">
        <v>559</v>
      </c>
      <c r="L101" s="5" t="s">
        <v>1098</v>
      </c>
      <c r="M101" s="5" t="s">
        <v>2123</v>
      </c>
      <c r="N101" s="5" t="s">
        <v>1099</v>
      </c>
    </row>
    <row r="102" customFormat="false" ht="283.55" hidden="false" customHeight="false" outlineLevel="0" collapsed="false">
      <c r="A102" s="5" t="s">
        <v>2124</v>
      </c>
      <c r="B102" s="5" t="s">
        <v>39</v>
      </c>
      <c r="C102" s="5" t="s">
        <v>72</v>
      </c>
      <c r="D102" s="16" t="n">
        <v>46197</v>
      </c>
      <c r="E102" s="5" t="s">
        <v>405</v>
      </c>
      <c r="F102" s="5" t="n">
        <v>43</v>
      </c>
      <c r="G102" s="5" t="s">
        <v>385</v>
      </c>
      <c r="H102" s="5" t="s">
        <v>996</v>
      </c>
      <c r="I102" s="5" t="s">
        <v>997</v>
      </c>
      <c r="J102" s="5" t="n">
        <v>2025</v>
      </c>
      <c r="K102" s="5" t="s">
        <v>276</v>
      </c>
      <c r="L102" s="5" t="s">
        <v>998</v>
      </c>
      <c r="M102" s="5" t="s">
        <v>2125</v>
      </c>
      <c r="N102" s="5" t="s">
        <v>999</v>
      </c>
    </row>
    <row r="103" customFormat="false" ht="229.85" hidden="false" customHeight="false" outlineLevel="0" collapsed="false">
      <c r="A103" s="5" t="s">
        <v>2126</v>
      </c>
      <c r="B103" s="5" t="s">
        <v>39</v>
      </c>
      <c r="C103" s="5" t="s">
        <v>72</v>
      </c>
      <c r="D103" s="16" t="n">
        <v>46197</v>
      </c>
      <c r="E103" s="5" t="s">
        <v>405</v>
      </c>
      <c r="F103" s="5" t="n">
        <v>44</v>
      </c>
      <c r="G103" s="5" t="s">
        <v>385</v>
      </c>
      <c r="H103" s="5" t="s">
        <v>535</v>
      </c>
      <c r="I103" s="5" t="s">
        <v>536</v>
      </c>
      <c r="J103" s="5" t="n">
        <v>2025</v>
      </c>
      <c r="K103" s="5" t="s">
        <v>204</v>
      </c>
      <c r="L103" s="5" t="s">
        <v>537</v>
      </c>
      <c r="M103" s="5" t="s">
        <v>2127</v>
      </c>
      <c r="N103" s="5" t="s">
        <v>538</v>
      </c>
    </row>
    <row r="104" customFormat="false" ht="243.25" hidden="false" customHeight="false" outlineLevel="0" collapsed="false">
      <c r="A104" s="5" t="s">
        <v>2128</v>
      </c>
      <c r="B104" s="5" t="s">
        <v>39</v>
      </c>
      <c r="C104" s="5" t="s">
        <v>72</v>
      </c>
      <c r="D104" s="16" t="n">
        <v>46197</v>
      </c>
      <c r="E104" s="5" t="s">
        <v>405</v>
      </c>
      <c r="F104" s="5" t="n">
        <v>45</v>
      </c>
      <c r="G104" s="5" t="s">
        <v>385</v>
      </c>
      <c r="H104" s="5" t="s">
        <v>1195</v>
      </c>
      <c r="I104" s="5" t="s">
        <v>1196</v>
      </c>
      <c r="J104" s="5" t="n">
        <v>2024</v>
      </c>
      <c r="K104" s="5" t="s">
        <v>1197</v>
      </c>
      <c r="L104" s="5" t="s">
        <v>1198</v>
      </c>
      <c r="M104" s="5" t="s">
        <v>2129</v>
      </c>
      <c r="N104" s="5" t="s">
        <v>1199</v>
      </c>
    </row>
    <row r="105" customFormat="false" ht="229.85" hidden="false" customHeight="false" outlineLevel="0" collapsed="false">
      <c r="A105" s="5" t="s">
        <v>2130</v>
      </c>
      <c r="B105" s="5" t="s">
        <v>39</v>
      </c>
      <c r="C105" s="5" t="s">
        <v>72</v>
      </c>
      <c r="D105" s="16" t="n">
        <v>46197</v>
      </c>
      <c r="E105" s="5" t="s">
        <v>405</v>
      </c>
      <c r="F105" s="5" t="n">
        <v>46</v>
      </c>
      <c r="G105" s="5" t="s">
        <v>385</v>
      </c>
      <c r="H105" s="5" t="s">
        <v>1080</v>
      </c>
      <c r="I105" s="5" t="s">
        <v>1081</v>
      </c>
      <c r="J105" s="5" t="n">
        <v>2024</v>
      </c>
      <c r="K105" s="5" t="s">
        <v>223</v>
      </c>
      <c r="L105" s="5" t="s">
        <v>1082</v>
      </c>
      <c r="M105" s="5" t="s">
        <v>2131</v>
      </c>
      <c r="N105" s="5" t="s">
        <v>1083</v>
      </c>
    </row>
    <row r="106" customFormat="false" ht="216.4" hidden="false" customHeight="false" outlineLevel="0" collapsed="false">
      <c r="A106" s="5" t="s">
        <v>2132</v>
      </c>
      <c r="B106" s="5" t="s">
        <v>39</v>
      </c>
      <c r="C106" s="5" t="s">
        <v>72</v>
      </c>
      <c r="D106" s="16" t="n">
        <v>46197</v>
      </c>
      <c r="E106" s="5" t="s">
        <v>405</v>
      </c>
      <c r="F106" s="5" t="n">
        <v>47</v>
      </c>
      <c r="G106" s="5" t="s">
        <v>385</v>
      </c>
      <c r="H106" s="5" t="s">
        <v>1245</v>
      </c>
      <c r="I106" s="5" t="s">
        <v>1246</v>
      </c>
      <c r="J106" s="5" t="n">
        <v>2023</v>
      </c>
      <c r="K106" s="5" t="s">
        <v>1247</v>
      </c>
      <c r="L106" s="5" t="s">
        <v>1248</v>
      </c>
      <c r="M106" s="5" t="s">
        <v>2133</v>
      </c>
      <c r="N106" s="5" t="s">
        <v>1249</v>
      </c>
    </row>
    <row r="107" customFormat="false" ht="189.55" hidden="false" customHeight="false" outlineLevel="0" collapsed="false">
      <c r="A107" s="5" t="s">
        <v>2134</v>
      </c>
      <c r="B107" s="5" t="s">
        <v>39</v>
      </c>
      <c r="C107" s="5" t="s">
        <v>72</v>
      </c>
      <c r="D107" s="16" t="n">
        <v>46197</v>
      </c>
      <c r="E107" s="5" t="s">
        <v>405</v>
      </c>
      <c r="F107" s="5" t="n">
        <v>48</v>
      </c>
      <c r="G107" s="5" t="s">
        <v>385</v>
      </c>
      <c r="H107" s="5" t="s">
        <v>792</v>
      </c>
      <c r="I107" s="5" t="s">
        <v>793</v>
      </c>
      <c r="J107" s="5" t="n">
        <v>2024</v>
      </c>
      <c r="K107" s="5" t="s">
        <v>726</v>
      </c>
      <c r="L107" s="5" t="s">
        <v>794</v>
      </c>
      <c r="M107" s="5" t="s">
        <v>2135</v>
      </c>
      <c r="N107" s="5" t="s">
        <v>795</v>
      </c>
    </row>
    <row r="108" customFormat="false" ht="229.85" hidden="false" customHeight="false" outlineLevel="0" collapsed="false">
      <c r="A108" s="5" t="s">
        <v>2136</v>
      </c>
      <c r="B108" s="5" t="s">
        <v>39</v>
      </c>
      <c r="C108" s="5" t="s">
        <v>72</v>
      </c>
      <c r="D108" s="16" t="n">
        <v>46197</v>
      </c>
      <c r="E108" s="5" t="s">
        <v>405</v>
      </c>
      <c r="F108" s="5" t="n">
        <v>49</v>
      </c>
      <c r="G108" s="5" t="s">
        <v>385</v>
      </c>
      <c r="H108" s="5" t="s">
        <v>594</v>
      </c>
      <c r="I108" s="5" t="s">
        <v>595</v>
      </c>
      <c r="J108" s="5" t="n">
        <v>2024</v>
      </c>
      <c r="K108" s="5" t="s">
        <v>453</v>
      </c>
      <c r="L108" s="5" t="s">
        <v>596</v>
      </c>
      <c r="M108" s="5" t="s">
        <v>2137</v>
      </c>
      <c r="N108" s="5" t="s">
        <v>597</v>
      </c>
    </row>
    <row r="109" customFormat="false" ht="256.7" hidden="false" customHeight="false" outlineLevel="0" collapsed="false">
      <c r="A109" s="5" t="s">
        <v>2138</v>
      </c>
      <c r="B109" s="5" t="s">
        <v>39</v>
      </c>
      <c r="C109" s="5" t="s">
        <v>72</v>
      </c>
      <c r="D109" s="16" t="n">
        <v>46197</v>
      </c>
      <c r="E109" s="5" t="s">
        <v>405</v>
      </c>
      <c r="F109" s="5" t="n">
        <v>50</v>
      </c>
      <c r="G109" s="5" t="s">
        <v>385</v>
      </c>
      <c r="H109" s="5" t="s">
        <v>401</v>
      </c>
      <c r="I109" s="5" t="s">
        <v>402</v>
      </c>
      <c r="J109" s="5" t="n">
        <v>2023</v>
      </c>
      <c r="K109" s="5" t="s">
        <v>403</v>
      </c>
      <c r="L109" s="5" t="s">
        <v>404</v>
      </c>
      <c r="M109" s="5" t="s">
        <v>2139</v>
      </c>
      <c r="N109" s="5" t="s">
        <v>406</v>
      </c>
    </row>
    <row r="110" customFormat="false" ht="243.25" hidden="false" customHeight="false" outlineLevel="0" collapsed="false">
      <c r="A110" s="5" t="s">
        <v>2140</v>
      </c>
      <c r="B110" s="5" t="s">
        <v>39</v>
      </c>
      <c r="C110" s="5" t="s">
        <v>72</v>
      </c>
      <c r="D110" s="16" t="n">
        <v>46197</v>
      </c>
      <c r="E110" s="5" t="s">
        <v>405</v>
      </c>
      <c r="F110" s="5" t="n">
        <v>51</v>
      </c>
      <c r="G110" s="5" t="s">
        <v>385</v>
      </c>
      <c r="H110" s="5" t="s">
        <v>938</v>
      </c>
      <c r="I110" s="5" t="s">
        <v>939</v>
      </c>
      <c r="J110" s="5" t="n">
        <v>2025</v>
      </c>
      <c r="K110" s="5" t="s">
        <v>204</v>
      </c>
      <c r="L110" s="5" t="s">
        <v>940</v>
      </c>
      <c r="M110" s="5" t="s">
        <v>2141</v>
      </c>
      <c r="N110" s="5" t="s">
        <v>944</v>
      </c>
    </row>
    <row r="111" customFormat="false" ht="297" hidden="false" customHeight="false" outlineLevel="0" collapsed="false">
      <c r="A111" s="5" t="s">
        <v>2142</v>
      </c>
      <c r="B111" s="5" t="s">
        <v>39</v>
      </c>
      <c r="C111" s="5" t="s">
        <v>72</v>
      </c>
      <c r="D111" s="16" t="n">
        <v>46197</v>
      </c>
      <c r="E111" s="5" t="s">
        <v>405</v>
      </c>
      <c r="F111" s="5" t="n">
        <v>52</v>
      </c>
      <c r="G111" s="5" t="s">
        <v>385</v>
      </c>
      <c r="H111" s="5" t="s">
        <v>645</v>
      </c>
      <c r="I111" s="5" t="s">
        <v>646</v>
      </c>
      <c r="J111" s="5" t="n">
        <v>2025</v>
      </c>
      <c r="K111" s="5" t="s">
        <v>276</v>
      </c>
      <c r="L111" s="5" t="s">
        <v>647</v>
      </c>
      <c r="M111" s="5" t="s">
        <v>2143</v>
      </c>
      <c r="N111" s="5" t="s">
        <v>648</v>
      </c>
    </row>
    <row r="112" customFormat="false" ht="176.1" hidden="false" customHeight="false" outlineLevel="0" collapsed="false">
      <c r="A112" s="5" t="s">
        <v>2144</v>
      </c>
      <c r="B112" s="5" t="s">
        <v>39</v>
      </c>
      <c r="C112" s="5" t="s">
        <v>72</v>
      </c>
      <c r="D112" s="16" t="n">
        <v>46197</v>
      </c>
      <c r="E112" s="5" t="s">
        <v>405</v>
      </c>
      <c r="F112" s="5" t="n">
        <v>53</v>
      </c>
      <c r="G112" s="5" t="s">
        <v>385</v>
      </c>
      <c r="H112" s="5" t="s">
        <v>1201</v>
      </c>
      <c r="I112" s="5" t="s">
        <v>1202</v>
      </c>
      <c r="J112" s="5" t="n">
        <v>2021</v>
      </c>
      <c r="K112" s="5" t="s">
        <v>276</v>
      </c>
      <c r="L112" s="5" t="s">
        <v>1203</v>
      </c>
      <c r="M112" s="5" t="s">
        <v>2145</v>
      </c>
      <c r="N112" s="5" t="s">
        <v>1204</v>
      </c>
    </row>
    <row r="113" customFormat="false" ht="189.55" hidden="false" customHeight="false" outlineLevel="0" collapsed="false">
      <c r="A113" s="5" t="s">
        <v>2146</v>
      </c>
      <c r="B113" s="5" t="s">
        <v>39</v>
      </c>
      <c r="C113" s="5" t="s">
        <v>72</v>
      </c>
      <c r="D113" s="16" t="n">
        <v>46197</v>
      </c>
      <c r="E113" s="5" t="s">
        <v>405</v>
      </c>
      <c r="F113" s="5" t="n">
        <v>54</v>
      </c>
      <c r="G113" s="5" t="s">
        <v>385</v>
      </c>
      <c r="H113" s="5" t="s">
        <v>424</v>
      </c>
      <c r="I113" s="5" t="s">
        <v>425</v>
      </c>
      <c r="J113" s="5" t="n">
        <v>2025</v>
      </c>
      <c r="K113" s="5" t="s">
        <v>276</v>
      </c>
      <c r="L113" s="5" t="s">
        <v>426</v>
      </c>
      <c r="M113" s="5" t="s">
        <v>2147</v>
      </c>
      <c r="N113" s="5" t="s">
        <v>430</v>
      </c>
    </row>
    <row r="114" customFormat="false" ht="189.55" hidden="false" customHeight="false" outlineLevel="0" collapsed="false">
      <c r="A114" s="5" t="s">
        <v>2148</v>
      </c>
      <c r="B114" s="5" t="s">
        <v>39</v>
      </c>
      <c r="C114" s="5" t="s">
        <v>72</v>
      </c>
      <c r="D114" s="16" t="n">
        <v>46197</v>
      </c>
      <c r="E114" s="5" t="s">
        <v>405</v>
      </c>
      <c r="F114" s="5" t="n">
        <v>55</v>
      </c>
      <c r="G114" s="5" t="s">
        <v>660</v>
      </c>
      <c r="H114" s="5" t="s">
        <v>658</v>
      </c>
      <c r="I114" s="5" t="s">
        <v>659</v>
      </c>
      <c r="J114" s="5" t="n">
        <v>2024</v>
      </c>
      <c r="K114" s="5" t="s">
        <v>661</v>
      </c>
      <c r="L114" s="5" t="s">
        <v>662</v>
      </c>
      <c r="M114" s="5" t="s">
        <v>2149</v>
      </c>
      <c r="N114" s="5" t="s">
        <v>663</v>
      </c>
    </row>
    <row r="115" customFormat="false" ht="189.55" hidden="false" customHeight="false" outlineLevel="0" collapsed="false">
      <c r="A115" s="5" t="s">
        <v>2150</v>
      </c>
      <c r="B115" s="5" t="s">
        <v>39</v>
      </c>
      <c r="C115" s="5" t="s">
        <v>72</v>
      </c>
      <c r="D115" s="16" t="n">
        <v>46197</v>
      </c>
      <c r="E115" s="5" t="s">
        <v>405</v>
      </c>
      <c r="F115" s="5" t="n">
        <v>56</v>
      </c>
      <c r="G115" s="5" t="s">
        <v>385</v>
      </c>
      <c r="H115" s="5" t="s">
        <v>991</v>
      </c>
      <c r="I115" s="5" t="s">
        <v>992</v>
      </c>
      <c r="J115" s="5" t="n">
        <v>2021</v>
      </c>
      <c r="K115" s="5" t="s">
        <v>204</v>
      </c>
      <c r="L115" s="5" t="s">
        <v>993</v>
      </c>
      <c r="M115" s="5" t="s">
        <v>2151</v>
      </c>
      <c r="N115" s="5" t="s">
        <v>994</v>
      </c>
    </row>
    <row r="116" customFormat="false" ht="176.1" hidden="false" customHeight="false" outlineLevel="0" collapsed="false">
      <c r="A116" s="5" t="s">
        <v>2152</v>
      </c>
      <c r="B116" s="5" t="s">
        <v>39</v>
      </c>
      <c r="C116" s="5" t="s">
        <v>72</v>
      </c>
      <c r="D116" s="16" t="n">
        <v>46197</v>
      </c>
      <c r="E116" s="5" t="s">
        <v>405</v>
      </c>
      <c r="F116" s="5" t="n">
        <v>57</v>
      </c>
      <c r="G116" s="5" t="s">
        <v>385</v>
      </c>
      <c r="H116" s="5" t="s">
        <v>1042</v>
      </c>
      <c r="I116" s="5" t="s">
        <v>1043</v>
      </c>
      <c r="J116" s="5" t="n">
        <v>2021</v>
      </c>
      <c r="K116" s="5" t="s">
        <v>1044</v>
      </c>
      <c r="L116" s="5" t="s">
        <v>1045</v>
      </c>
      <c r="M116" s="5" t="s">
        <v>2153</v>
      </c>
      <c r="N116" s="5" t="s">
        <v>1046</v>
      </c>
    </row>
    <row r="117" customFormat="false" ht="229.85" hidden="false" customHeight="false" outlineLevel="0" collapsed="false">
      <c r="A117" s="5" t="s">
        <v>2154</v>
      </c>
      <c r="B117" s="5" t="s">
        <v>39</v>
      </c>
      <c r="C117" s="5" t="s">
        <v>72</v>
      </c>
      <c r="D117" s="16" t="n">
        <v>46197</v>
      </c>
      <c r="E117" s="5" t="s">
        <v>405</v>
      </c>
      <c r="F117" s="5" t="n">
        <v>58</v>
      </c>
      <c r="G117" s="5" t="s">
        <v>385</v>
      </c>
      <c r="H117" s="5" t="s">
        <v>640</v>
      </c>
      <c r="I117" s="5" t="s">
        <v>641</v>
      </c>
      <c r="J117" s="5" t="n">
        <v>2021</v>
      </c>
      <c r="K117" s="5" t="s">
        <v>453</v>
      </c>
      <c r="L117" s="5" t="s">
        <v>642</v>
      </c>
      <c r="M117" s="5" t="s">
        <v>2155</v>
      </c>
      <c r="N117" s="5" t="s">
        <v>643</v>
      </c>
    </row>
    <row r="118" customFormat="false" ht="149.25" hidden="false" customHeight="false" outlineLevel="0" collapsed="false">
      <c r="A118" s="5" t="s">
        <v>2156</v>
      </c>
      <c r="B118" s="5" t="s">
        <v>39</v>
      </c>
      <c r="C118" s="5" t="s">
        <v>72</v>
      </c>
      <c r="D118" s="16" t="n">
        <v>46197</v>
      </c>
      <c r="E118" s="5" t="s">
        <v>405</v>
      </c>
      <c r="F118" s="5" t="n">
        <v>59</v>
      </c>
      <c r="G118" s="5" t="s">
        <v>385</v>
      </c>
      <c r="H118" s="5" t="s">
        <v>652</v>
      </c>
      <c r="I118" s="5" t="s">
        <v>653</v>
      </c>
      <c r="J118" s="5" t="n">
        <v>2024</v>
      </c>
      <c r="K118" s="5" t="s">
        <v>654</v>
      </c>
      <c r="L118" s="5" t="s">
        <v>655</v>
      </c>
      <c r="M118" s="5" t="s">
        <v>2157</v>
      </c>
      <c r="N118" s="5" t="s">
        <v>656</v>
      </c>
    </row>
    <row r="119" customFormat="false" ht="310.4" hidden="false" customHeight="false" outlineLevel="0" collapsed="false">
      <c r="A119" s="5" t="s">
        <v>2158</v>
      </c>
      <c r="B119" s="5" t="s">
        <v>39</v>
      </c>
      <c r="C119" s="5" t="s">
        <v>72</v>
      </c>
      <c r="D119" s="16" t="n">
        <v>46197</v>
      </c>
      <c r="E119" s="5" t="s">
        <v>405</v>
      </c>
      <c r="F119" s="5" t="n">
        <v>60</v>
      </c>
      <c r="G119" s="5" t="s">
        <v>385</v>
      </c>
      <c r="H119" s="5" t="s">
        <v>408</v>
      </c>
      <c r="I119" s="5" t="s">
        <v>409</v>
      </c>
      <c r="J119" s="5" t="n">
        <v>2024</v>
      </c>
      <c r="K119" s="5" t="s">
        <v>223</v>
      </c>
      <c r="L119" s="5" t="s">
        <v>410</v>
      </c>
      <c r="M119" s="5" t="s">
        <v>2159</v>
      </c>
      <c r="N119" s="5" t="s">
        <v>411</v>
      </c>
    </row>
    <row r="120" customFormat="false" ht="202.95" hidden="false" customHeight="false" outlineLevel="0" collapsed="false">
      <c r="A120" s="5" t="s">
        <v>2160</v>
      </c>
      <c r="B120" s="5" t="s">
        <v>39</v>
      </c>
      <c r="C120" s="5" t="s">
        <v>72</v>
      </c>
      <c r="D120" s="16" t="n">
        <v>46197</v>
      </c>
      <c r="E120" s="5" t="s">
        <v>405</v>
      </c>
      <c r="F120" s="5" t="n">
        <v>61</v>
      </c>
      <c r="G120" s="5" t="s">
        <v>385</v>
      </c>
      <c r="H120" s="5" t="s">
        <v>1101</v>
      </c>
      <c r="I120" s="5" t="s">
        <v>1102</v>
      </c>
      <c r="J120" s="5" t="n">
        <v>2024</v>
      </c>
      <c r="K120" s="5" t="s">
        <v>223</v>
      </c>
      <c r="L120" s="5" t="s">
        <v>1103</v>
      </c>
      <c r="M120" s="5" t="s">
        <v>2161</v>
      </c>
      <c r="N120" s="5" t="s">
        <v>1104</v>
      </c>
    </row>
    <row r="121" customFormat="false" ht="270.1" hidden="false" customHeight="false" outlineLevel="0" collapsed="false">
      <c r="A121" s="5" t="s">
        <v>2162</v>
      </c>
      <c r="B121" s="5" t="s">
        <v>39</v>
      </c>
      <c r="C121" s="5" t="s">
        <v>72</v>
      </c>
      <c r="D121" s="16" t="n">
        <v>46197</v>
      </c>
      <c r="E121" s="5" t="s">
        <v>405</v>
      </c>
      <c r="F121" s="5" t="n">
        <v>62</v>
      </c>
      <c r="G121" s="5" t="s">
        <v>385</v>
      </c>
      <c r="H121" s="5" t="s">
        <v>1037</v>
      </c>
      <c r="I121" s="5" t="s">
        <v>1038</v>
      </c>
      <c r="J121" s="5" t="n">
        <v>2025</v>
      </c>
      <c r="K121" s="5" t="s">
        <v>276</v>
      </c>
      <c r="L121" s="5" t="s">
        <v>1039</v>
      </c>
      <c r="M121" s="5" t="s">
        <v>2163</v>
      </c>
      <c r="N121" s="5" t="s">
        <v>1040</v>
      </c>
    </row>
    <row r="122" customFormat="false" ht="176.1" hidden="false" customHeight="false" outlineLevel="0" collapsed="false">
      <c r="A122" s="5" t="s">
        <v>2164</v>
      </c>
      <c r="B122" s="5" t="s">
        <v>39</v>
      </c>
      <c r="C122" s="5" t="s">
        <v>72</v>
      </c>
      <c r="D122" s="16" t="n">
        <v>46197</v>
      </c>
      <c r="E122" s="5" t="s">
        <v>405</v>
      </c>
      <c r="F122" s="5" t="n">
        <v>63</v>
      </c>
      <c r="G122" s="5" t="s">
        <v>385</v>
      </c>
      <c r="H122" s="5" t="s">
        <v>869</v>
      </c>
      <c r="I122" s="5" t="s">
        <v>870</v>
      </c>
      <c r="J122" s="5" t="n">
        <v>2025</v>
      </c>
      <c r="K122" s="5" t="s">
        <v>855</v>
      </c>
      <c r="L122" s="5" t="s">
        <v>871</v>
      </c>
      <c r="M122" s="5" t="s">
        <v>2165</v>
      </c>
      <c r="N122" s="5" t="s">
        <v>872</v>
      </c>
    </row>
    <row r="123" customFormat="false" ht="297" hidden="false" customHeight="false" outlineLevel="0" collapsed="false">
      <c r="A123" s="5" t="s">
        <v>2166</v>
      </c>
      <c r="B123" s="5" t="s">
        <v>39</v>
      </c>
      <c r="C123" s="5" t="s">
        <v>72</v>
      </c>
      <c r="D123" s="16" t="n">
        <v>46197</v>
      </c>
      <c r="E123" s="5" t="s">
        <v>405</v>
      </c>
      <c r="F123" s="5" t="n">
        <v>64</v>
      </c>
      <c r="G123" s="5" t="s">
        <v>385</v>
      </c>
      <c r="H123" s="5" t="s">
        <v>526</v>
      </c>
      <c r="I123" s="5" t="s">
        <v>527</v>
      </c>
      <c r="J123" s="5" t="n">
        <v>2025</v>
      </c>
      <c r="K123" s="5" t="s">
        <v>453</v>
      </c>
      <c r="L123" s="5" t="s">
        <v>528</v>
      </c>
      <c r="M123" s="5" t="s">
        <v>2167</v>
      </c>
      <c r="N123" s="5" t="s">
        <v>529</v>
      </c>
    </row>
    <row r="124" customFormat="false" ht="243.25" hidden="false" customHeight="false" outlineLevel="0" collapsed="false">
      <c r="A124" s="5" t="s">
        <v>2168</v>
      </c>
      <c r="B124" s="5" t="s">
        <v>39</v>
      </c>
      <c r="C124" s="5" t="s">
        <v>72</v>
      </c>
      <c r="D124" s="16" t="n">
        <v>46197</v>
      </c>
      <c r="E124" s="5" t="s">
        <v>405</v>
      </c>
      <c r="F124" s="5" t="n">
        <v>65</v>
      </c>
      <c r="G124" s="5" t="s">
        <v>385</v>
      </c>
      <c r="H124" s="5" t="s">
        <v>274</v>
      </c>
      <c r="I124" s="5" t="s">
        <v>275</v>
      </c>
      <c r="J124" s="5" t="n">
        <v>2025</v>
      </c>
      <c r="K124" s="5" t="s">
        <v>276</v>
      </c>
      <c r="L124" s="5" t="s">
        <v>277</v>
      </c>
      <c r="M124" s="5" t="s">
        <v>2169</v>
      </c>
      <c r="N124" s="5" t="s">
        <v>989</v>
      </c>
    </row>
    <row r="125" customFormat="false" ht="216.4" hidden="false" customHeight="false" outlineLevel="0" collapsed="false">
      <c r="A125" s="5" t="s">
        <v>2170</v>
      </c>
      <c r="B125" s="5" t="s">
        <v>39</v>
      </c>
      <c r="C125" s="5" t="s">
        <v>72</v>
      </c>
      <c r="D125" s="16" t="n">
        <v>46197</v>
      </c>
      <c r="E125" s="5" t="s">
        <v>405</v>
      </c>
      <c r="F125" s="5" t="n">
        <v>66</v>
      </c>
      <c r="G125" s="5" t="s">
        <v>385</v>
      </c>
      <c r="H125" s="5" t="s">
        <v>262</v>
      </c>
      <c r="I125" s="5" t="s">
        <v>263</v>
      </c>
      <c r="J125" s="5" t="n">
        <v>2024</v>
      </c>
      <c r="K125" s="5" t="s">
        <v>223</v>
      </c>
      <c r="L125" s="5" t="s">
        <v>264</v>
      </c>
      <c r="M125" s="5" t="s">
        <v>1986</v>
      </c>
      <c r="N125" s="5" t="s">
        <v>1078</v>
      </c>
    </row>
    <row r="126" customFormat="false" ht="162.65" hidden="false" customHeight="false" outlineLevel="0" collapsed="false">
      <c r="A126" s="5" t="s">
        <v>2171</v>
      </c>
      <c r="B126" s="5" t="s">
        <v>39</v>
      </c>
      <c r="C126" s="5" t="s">
        <v>72</v>
      </c>
      <c r="D126" s="16" t="n">
        <v>46197</v>
      </c>
      <c r="E126" s="5" t="s">
        <v>405</v>
      </c>
      <c r="F126" s="5" t="n">
        <v>67</v>
      </c>
      <c r="G126" s="5" t="s">
        <v>385</v>
      </c>
      <c r="H126" s="5" t="s">
        <v>242</v>
      </c>
      <c r="I126" s="5" t="s">
        <v>243</v>
      </c>
      <c r="J126" s="5" t="n">
        <v>2023</v>
      </c>
      <c r="K126" s="5" t="s">
        <v>244</v>
      </c>
      <c r="L126" s="5" t="s">
        <v>245</v>
      </c>
      <c r="M126" s="5" t="s">
        <v>2004</v>
      </c>
      <c r="N126" s="5" t="s">
        <v>477</v>
      </c>
    </row>
    <row r="127" customFormat="false" ht="364.15" hidden="false" customHeight="false" outlineLevel="0" collapsed="false">
      <c r="A127" s="5" t="s">
        <v>2172</v>
      </c>
      <c r="B127" s="5" t="s">
        <v>39</v>
      </c>
      <c r="C127" s="5" t="s">
        <v>72</v>
      </c>
      <c r="D127" s="16" t="n">
        <v>46197</v>
      </c>
      <c r="E127" s="5" t="s">
        <v>405</v>
      </c>
      <c r="F127" s="5" t="n">
        <v>68</v>
      </c>
      <c r="G127" s="5" t="s">
        <v>385</v>
      </c>
      <c r="H127" s="5" t="s">
        <v>557</v>
      </c>
      <c r="I127" s="5" t="s">
        <v>558</v>
      </c>
      <c r="J127" s="5" t="n">
        <v>2022</v>
      </c>
      <c r="K127" s="5" t="s">
        <v>559</v>
      </c>
      <c r="L127" s="5" t="s">
        <v>560</v>
      </c>
      <c r="M127" s="5" t="s">
        <v>2006</v>
      </c>
      <c r="N127" s="5" t="s">
        <v>561</v>
      </c>
    </row>
    <row r="128" customFormat="false" ht="149.25" hidden="false" customHeight="false" outlineLevel="0" collapsed="false">
      <c r="A128" s="5" t="s">
        <v>2173</v>
      </c>
      <c r="B128" s="5" t="s">
        <v>39</v>
      </c>
      <c r="C128" s="5" t="s">
        <v>72</v>
      </c>
      <c r="D128" s="16" t="n">
        <v>46197</v>
      </c>
      <c r="E128" s="5" t="s">
        <v>405</v>
      </c>
      <c r="F128" s="5" t="n">
        <v>69</v>
      </c>
      <c r="G128" s="5" t="s">
        <v>385</v>
      </c>
      <c r="H128" s="5" t="s">
        <v>724</v>
      </c>
      <c r="I128" s="5" t="s">
        <v>725</v>
      </c>
      <c r="J128" s="5" t="n">
        <v>2023</v>
      </c>
      <c r="K128" s="5" t="s">
        <v>726</v>
      </c>
      <c r="L128" s="5" t="s">
        <v>727</v>
      </c>
      <c r="M128" s="5" t="s">
        <v>2008</v>
      </c>
      <c r="N128" s="5" t="s">
        <v>728</v>
      </c>
    </row>
    <row r="129" customFormat="false" ht="202.95" hidden="false" customHeight="false" outlineLevel="0" collapsed="false">
      <c r="A129" s="5" t="s">
        <v>2174</v>
      </c>
      <c r="B129" s="5" t="s">
        <v>39</v>
      </c>
      <c r="C129" s="5" t="s">
        <v>72</v>
      </c>
      <c r="D129" s="16" t="n">
        <v>46197</v>
      </c>
      <c r="E129" s="5" t="s">
        <v>405</v>
      </c>
      <c r="F129" s="5" t="n">
        <v>70</v>
      </c>
      <c r="G129" s="5" t="s">
        <v>385</v>
      </c>
      <c r="H129" s="5" t="s">
        <v>787</v>
      </c>
      <c r="I129" s="5" t="s">
        <v>788</v>
      </c>
      <c r="J129" s="5" t="n">
        <v>2023</v>
      </c>
      <c r="K129" s="5" t="s">
        <v>453</v>
      </c>
      <c r="L129" s="5" t="s">
        <v>789</v>
      </c>
      <c r="M129" s="5" t="s">
        <v>2010</v>
      </c>
      <c r="N129" s="5" t="s">
        <v>790</v>
      </c>
    </row>
    <row r="130" customFormat="false" ht="162.65" hidden="false" customHeight="false" outlineLevel="0" collapsed="false">
      <c r="A130" s="5" t="s">
        <v>2175</v>
      </c>
      <c r="B130" s="5" t="s">
        <v>39</v>
      </c>
      <c r="C130" s="5" t="s">
        <v>73</v>
      </c>
      <c r="D130" s="16" t="n">
        <v>46197</v>
      </c>
      <c r="E130" s="5" t="s">
        <v>398</v>
      </c>
      <c r="F130" s="5" t="n">
        <v>1</v>
      </c>
      <c r="G130" s="5" t="s">
        <v>385</v>
      </c>
      <c r="H130" s="5" t="s">
        <v>226</v>
      </c>
      <c r="I130" s="5" t="s">
        <v>227</v>
      </c>
      <c r="J130" s="5" t="n">
        <v>2022</v>
      </c>
      <c r="K130" s="5" t="s">
        <v>228</v>
      </c>
      <c r="L130" s="5" t="s">
        <v>229</v>
      </c>
      <c r="M130" s="5" t="s">
        <v>2176</v>
      </c>
      <c r="N130" s="5" t="s">
        <v>650</v>
      </c>
    </row>
    <row r="131" customFormat="false" ht="256.7" hidden="false" customHeight="false" outlineLevel="0" collapsed="false">
      <c r="A131" s="5" t="s">
        <v>2177</v>
      </c>
      <c r="B131" s="5" t="s">
        <v>39</v>
      </c>
      <c r="C131" s="5" t="s">
        <v>73</v>
      </c>
      <c r="D131" s="16" t="n">
        <v>46197</v>
      </c>
      <c r="E131" s="5" t="s">
        <v>398</v>
      </c>
      <c r="F131" s="5" t="n">
        <v>2</v>
      </c>
      <c r="G131" s="5" t="s">
        <v>385</v>
      </c>
      <c r="H131" s="5" t="s">
        <v>838</v>
      </c>
      <c r="I131" s="5" t="s">
        <v>839</v>
      </c>
      <c r="J131" s="5" t="n">
        <v>2021</v>
      </c>
      <c r="K131" s="5" t="s">
        <v>228</v>
      </c>
      <c r="L131" s="5" t="s">
        <v>840</v>
      </c>
      <c r="M131" s="5" t="s">
        <v>2178</v>
      </c>
      <c r="N131" s="5" t="s">
        <v>841</v>
      </c>
    </row>
    <row r="132" customFormat="false" ht="149.25" hidden="false" customHeight="false" outlineLevel="0" collapsed="false">
      <c r="A132" s="5" t="s">
        <v>2179</v>
      </c>
      <c r="B132" s="5" t="s">
        <v>39</v>
      </c>
      <c r="C132" s="5" t="s">
        <v>73</v>
      </c>
      <c r="D132" s="16" t="n">
        <v>46197</v>
      </c>
      <c r="E132" s="5" t="s">
        <v>398</v>
      </c>
      <c r="F132" s="5" t="n">
        <v>3</v>
      </c>
      <c r="G132" s="5" t="s">
        <v>385</v>
      </c>
      <c r="H132" s="5" t="s">
        <v>760</v>
      </c>
      <c r="I132" s="5" t="s">
        <v>761</v>
      </c>
      <c r="J132" s="5" t="n">
        <v>2024</v>
      </c>
      <c r="K132" s="5" t="s">
        <v>762</v>
      </c>
      <c r="L132" s="5" t="s">
        <v>763</v>
      </c>
      <c r="M132" s="5" t="s">
        <v>2180</v>
      </c>
      <c r="N132" s="5" t="s">
        <v>764</v>
      </c>
    </row>
    <row r="133" customFormat="false" ht="256.7" hidden="false" customHeight="false" outlineLevel="0" collapsed="false">
      <c r="A133" s="5" t="s">
        <v>2181</v>
      </c>
      <c r="B133" s="5" t="s">
        <v>39</v>
      </c>
      <c r="C133" s="5" t="s">
        <v>73</v>
      </c>
      <c r="D133" s="16" t="n">
        <v>46197</v>
      </c>
      <c r="E133" s="5" t="s">
        <v>398</v>
      </c>
      <c r="F133" s="5" t="n">
        <v>4</v>
      </c>
      <c r="G133" s="5" t="s">
        <v>385</v>
      </c>
      <c r="H133" s="5" t="s">
        <v>1174</v>
      </c>
      <c r="I133" s="5" t="s">
        <v>1175</v>
      </c>
      <c r="J133" s="5" t="n">
        <v>2026</v>
      </c>
      <c r="K133" s="5" t="s">
        <v>228</v>
      </c>
      <c r="L133" s="5" t="s">
        <v>1176</v>
      </c>
      <c r="M133" s="5" t="s">
        <v>2182</v>
      </c>
      <c r="N133" s="5" t="s">
        <v>1177</v>
      </c>
    </row>
    <row r="134" customFormat="false" ht="202.95" hidden="false" customHeight="false" outlineLevel="0" collapsed="false">
      <c r="A134" s="5" t="s">
        <v>2183</v>
      </c>
      <c r="B134" s="5" t="s">
        <v>39</v>
      </c>
      <c r="C134" s="5" t="s">
        <v>73</v>
      </c>
      <c r="D134" s="16" t="n">
        <v>46197</v>
      </c>
      <c r="E134" s="5" t="s">
        <v>398</v>
      </c>
      <c r="F134" s="5" t="n">
        <v>5</v>
      </c>
      <c r="G134" s="5" t="s">
        <v>385</v>
      </c>
      <c r="H134" s="5" t="s">
        <v>677</v>
      </c>
      <c r="I134" s="5" t="s">
        <v>678</v>
      </c>
      <c r="J134" s="5" t="n">
        <v>2024</v>
      </c>
      <c r="K134" s="5" t="s">
        <v>228</v>
      </c>
      <c r="L134" s="5" t="s">
        <v>679</v>
      </c>
      <c r="M134" s="5" t="s">
        <v>2184</v>
      </c>
      <c r="N134" s="5" t="s">
        <v>680</v>
      </c>
    </row>
    <row r="135" customFormat="false" ht="108.95" hidden="false" customHeight="false" outlineLevel="0" collapsed="false">
      <c r="A135" s="5" t="s">
        <v>2185</v>
      </c>
      <c r="B135" s="5" t="s">
        <v>39</v>
      </c>
      <c r="C135" s="5" t="s">
        <v>73</v>
      </c>
      <c r="D135" s="16" t="n">
        <v>46197</v>
      </c>
      <c r="E135" s="5" t="s">
        <v>398</v>
      </c>
      <c r="F135" s="5" t="n">
        <v>6</v>
      </c>
      <c r="G135" s="5" t="s">
        <v>385</v>
      </c>
      <c r="H135" s="5" t="s">
        <v>1053</v>
      </c>
      <c r="I135" s="5" t="s">
        <v>1054</v>
      </c>
      <c r="J135" s="5" t="n">
        <v>2020</v>
      </c>
      <c r="K135" s="5" t="s">
        <v>1055</v>
      </c>
      <c r="L135" s="5" t="s">
        <v>1056</v>
      </c>
      <c r="M135" s="5" t="s">
        <v>2186</v>
      </c>
      <c r="N135" s="5" t="s">
        <v>1057</v>
      </c>
    </row>
    <row r="136" customFormat="false" ht="149.25" hidden="false" customHeight="false" outlineLevel="0" collapsed="false">
      <c r="A136" s="5" t="s">
        <v>2187</v>
      </c>
      <c r="B136" s="5" t="s">
        <v>39</v>
      </c>
      <c r="C136" s="5" t="s">
        <v>73</v>
      </c>
      <c r="D136" s="16" t="n">
        <v>46197</v>
      </c>
      <c r="E136" s="5" t="s">
        <v>398</v>
      </c>
      <c r="F136" s="5" t="n">
        <v>7</v>
      </c>
      <c r="G136" s="5" t="s">
        <v>385</v>
      </c>
      <c r="H136" s="5" t="s">
        <v>827</v>
      </c>
      <c r="I136" s="5" t="s">
        <v>828</v>
      </c>
      <c r="J136" s="5" t="n">
        <v>2025</v>
      </c>
      <c r="K136" s="5" t="s">
        <v>829</v>
      </c>
      <c r="L136" s="5" t="s">
        <v>830</v>
      </c>
      <c r="M136" s="5" t="s">
        <v>2188</v>
      </c>
      <c r="N136" s="5" t="s">
        <v>831</v>
      </c>
    </row>
    <row r="137" customFormat="false" ht="189.55" hidden="false" customHeight="false" outlineLevel="0" collapsed="false">
      <c r="A137" s="5" t="s">
        <v>2189</v>
      </c>
      <c r="B137" s="5" t="s">
        <v>39</v>
      </c>
      <c r="C137" s="5" t="s">
        <v>73</v>
      </c>
      <c r="D137" s="16" t="n">
        <v>46197</v>
      </c>
      <c r="E137" s="5" t="s">
        <v>398</v>
      </c>
      <c r="F137" s="5" t="n">
        <v>8</v>
      </c>
      <c r="G137" s="5" t="s">
        <v>385</v>
      </c>
      <c r="H137" s="5" t="s">
        <v>972</v>
      </c>
      <c r="I137" s="5" t="s">
        <v>973</v>
      </c>
      <c r="J137" s="5" t="n">
        <v>2023</v>
      </c>
      <c r="K137" s="5" t="s">
        <v>673</v>
      </c>
      <c r="L137" s="5" t="s">
        <v>974</v>
      </c>
      <c r="M137" s="5" t="s">
        <v>2190</v>
      </c>
      <c r="N137" s="5" t="s">
        <v>975</v>
      </c>
    </row>
    <row r="138" customFormat="false" ht="135.8" hidden="false" customHeight="false" outlineLevel="0" collapsed="false">
      <c r="A138" s="5" t="s">
        <v>2191</v>
      </c>
      <c r="B138" s="5" t="s">
        <v>39</v>
      </c>
      <c r="C138" s="5" t="s">
        <v>73</v>
      </c>
      <c r="D138" s="16" t="n">
        <v>46197</v>
      </c>
      <c r="E138" s="5" t="s">
        <v>398</v>
      </c>
      <c r="F138" s="5" t="n">
        <v>9</v>
      </c>
      <c r="G138" s="5" t="s">
        <v>385</v>
      </c>
      <c r="H138" s="5" t="s">
        <v>1085</v>
      </c>
      <c r="I138" s="5" t="s">
        <v>1086</v>
      </c>
      <c r="J138" s="5" t="n">
        <v>2022</v>
      </c>
      <c r="K138" s="5" t="s">
        <v>1087</v>
      </c>
      <c r="L138" s="5" t="s">
        <v>1088</v>
      </c>
      <c r="M138" s="5" t="s">
        <v>2192</v>
      </c>
      <c r="N138" s="5" t="s">
        <v>1089</v>
      </c>
    </row>
    <row r="139" customFormat="false" ht="162.65" hidden="false" customHeight="false" outlineLevel="0" collapsed="false">
      <c r="A139" s="5" t="s">
        <v>2193</v>
      </c>
      <c r="B139" s="5" t="s">
        <v>39</v>
      </c>
      <c r="C139" s="5" t="s">
        <v>73</v>
      </c>
      <c r="D139" s="16" t="n">
        <v>46197</v>
      </c>
      <c r="E139" s="5" t="s">
        <v>398</v>
      </c>
      <c r="F139" s="5" t="n">
        <v>10</v>
      </c>
      <c r="G139" s="5" t="s">
        <v>385</v>
      </c>
      <c r="H139" s="5" t="s">
        <v>922</v>
      </c>
      <c r="I139" s="5" t="s">
        <v>923</v>
      </c>
      <c r="J139" s="5" t="n">
        <v>2020</v>
      </c>
      <c r="K139" s="5" t="s">
        <v>924</v>
      </c>
      <c r="L139" s="5" t="s">
        <v>925</v>
      </c>
      <c r="M139" s="5" t="s">
        <v>2194</v>
      </c>
      <c r="N139" s="5" t="s">
        <v>926</v>
      </c>
    </row>
    <row r="140" customFormat="false" ht="176.1" hidden="false" customHeight="false" outlineLevel="0" collapsed="false">
      <c r="A140" s="5" t="s">
        <v>2195</v>
      </c>
      <c r="B140" s="5" t="s">
        <v>39</v>
      </c>
      <c r="C140" s="5" t="s">
        <v>73</v>
      </c>
      <c r="D140" s="16" t="n">
        <v>46197</v>
      </c>
      <c r="E140" s="5" t="s">
        <v>398</v>
      </c>
      <c r="F140" s="5" t="n">
        <v>11</v>
      </c>
      <c r="G140" s="5" t="s">
        <v>385</v>
      </c>
      <c r="H140" s="5" t="s">
        <v>394</v>
      </c>
      <c r="I140" s="5" t="s">
        <v>395</v>
      </c>
      <c r="J140" s="5" t="n">
        <v>2024</v>
      </c>
      <c r="K140" s="5" t="s">
        <v>228</v>
      </c>
      <c r="L140" s="5" t="s">
        <v>396</v>
      </c>
      <c r="M140" s="5" t="s">
        <v>2196</v>
      </c>
      <c r="N140" s="5" t="s">
        <v>399</v>
      </c>
    </row>
    <row r="141" customFormat="false" ht="162.65" hidden="false" customHeight="false" outlineLevel="0" collapsed="false">
      <c r="A141" s="5" t="s">
        <v>2197</v>
      </c>
      <c r="B141" s="5" t="s">
        <v>39</v>
      </c>
      <c r="C141" s="5" t="s">
        <v>73</v>
      </c>
      <c r="D141" s="16" t="n">
        <v>46197</v>
      </c>
      <c r="E141" s="5" t="s">
        <v>398</v>
      </c>
      <c r="F141" s="5" t="n">
        <v>12</v>
      </c>
      <c r="G141" s="5" t="s">
        <v>385</v>
      </c>
      <c r="H141" s="5" t="s">
        <v>1118</v>
      </c>
      <c r="I141" s="5" t="s">
        <v>1119</v>
      </c>
      <c r="J141" s="5" t="n">
        <v>2025</v>
      </c>
      <c r="K141" s="5" t="s">
        <v>228</v>
      </c>
      <c r="L141" s="5" t="s">
        <v>1120</v>
      </c>
      <c r="M141" s="5" t="s">
        <v>2198</v>
      </c>
      <c r="N141" s="5" t="s">
        <v>1121</v>
      </c>
    </row>
    <row r="142" customFormat="false" ht="135.8" hidden="false" customHeight="false" outlineLevel="0" collapsed="false">
      <c r="A142" s="5" t="s">
        <v>2199</v>
      </c>
      <c r="B142" s="5" t="s">
        <v>39</v>
      </c>
      <c r="C142" s="5" t="s">
        <v>73</v>
      </c>
      <c r="D142" s="16" t="n">
        <v>46197</v>
      </c>
      <c r="E142" s="5" t="s">
        <v>398</v>
      </c>
      <c r="F142" s="5" t="n">
        <v>13</v>
      </c>
      <c r="G142" s="5" t="s">
        <v>385</v>
      </c>
      <c r="H142" s="5" t="s">
        <v>928</v>
      </c>
      <c r="I142" s="5" t="s">
        <v>929</v>
      </c>
      <c r="J142" s="5" t="n">
        <v>2023</v>
      </c>
      <c r="K142" s="5" t="s">
        <v>903</v>
      </c>
      <c r="L142" s="5" t="s">
        <v>930</v>
      </c>
      <c r="M142" s="5" t="s">
        <v>2200</v>
      </c>
      <c r="N142" s="5" t="s">
        <v>931</v>
      </c>
    </row>
    <row r="143" customFormat="false" ht="162.65" hidden="false" customHeight="false" outlineLevel="0" collapsed="false">
      <c r="A143" s="5" t="s">
        <v>2201</v>
      </c>
      <c r="B143" s="5" t="s">
        <v>39</v>
      </c>
      <c r="C143" s="5" t="s">
        <v>73</v>
      </c>
      <c r="D143" s="16" t="n">
        <v>46197</v>
      </c>
      <c r="E143" s="5" t="s">
        <v>398</v>
      </c>
      <c r="F143" s="5" t="n">
        <v>14</v>
      </c>
      <c r="G143" s="5" t="s">
        <v>385</v>
      </c>
      <c r="H143" s="5" t="s">
        <v>413</v>
      </c>
      <c r="I143" s="5" t="s">
        <v>414</v>
      </c>
      <c r="J143" s="5" t="n">
        <v>2026</v>
      </c>
      <c r="K143" s="5" t="s">
        <v>228</v>
      </c>
      <c r="L143" s="5" t="s">
        <v>415</v>
      </c>
      <c r="M143" s="5" t="s">
        <v>2202</v>
      </c>
      <c r="N143" s="5" t="s">
        <v>416</v>
      </c>
    </row>
    <row r="144" customFormat="false" ht="189.55" hidden="false" customHeight="false" outlineLevel="0" collapsed="false">
      <c r="A144" s="5" t="s">
        <v>2203</v>
      </c>
      <c r="B144" s="5" t="s">
        <v>39</v>
      </c>
      <c r="C144" s="5" t="s">
        <v>73</v>
      </c>
      <c r="D144" s="16" t="n">
        <v>46197</v>
      </c>
      <c r="E144" s="5" t="s">
        <v>398</v>
      </c>
      <c r="F144" s="5" t="n">
        <v>15</v>
      </c>
      <c r="G144" s="5" t="s">
        <v>385</v>
      </c>
      <c r="H144" s="5" t="s">
        <v>1189</v>
      </c>
      <c r="I144" s="5" t="s">
        <v>1190</v>
      </c>
      <c r="J144" s="5" t="n">
        <v>2023</v>
      </c>
      <c r="K144" s="5" t="s">
        <v>1191</v>
      </c>
      <c r="L144" s="5" t="s">
        <v>1192</v>
      </c>
      <c r="M144" s="5" t="s">
        <v>2204</v>
      </c>
      <c r="N144" s="5" t="s">
        <v>1193</v>
      </c>
    </row>
    <row r="145" customFormat="false" ht="256.7" hidden="false" customHeight="false" outlineLevel="0" collapsed="false">
      <c r="A145" s="5" t="s">
        <v>2205</v>
      </c>
      <c r="B145" s="5" t="s">
        <v>39</v>
      </c>
      <c r="C145" s="5" t="s">
        <v>73</v>
      </c>
      <c r="D145" s="16" t="n">
        <v>46197</v>
      </c>
      <c r="E145" s="5" t="s">
        <v>398</v>
      </c>
      <c r="F145" s="5" t="n">
        <v>16</v>
      </c>
      <c r="G145" s="5" t="s">
        <v>385</v>
      </c>
      <c r="H145" s="5" t="s">
        <v>1065</v>
      </c>
      <c r="I145" s="5" t="s">
        <v>1066</v>
      </c>
      <c r="J145" s="5" t="n">
        <v>2021</v>
      </c>
      <c r="K145" s="5" t="s">
        <v>228</v>
      </c>
      <c r="L145" s="5" t="s">
        <v>1067</v>
      </c>
      <c r="M145" s="5" t="s">
        <v>2206</v>
      </c>
      <c r="N145" s="5" t="s">
        <v>1068</v>
      </c>
    </row>
    <row r="146" customFormat="false" ht="162.65" hidden="false" customHeight="false" outlineLevel="0" collapsed="false">
      <c r="A146" s="5" t="s">
        <v>2207</v>
      </c>
      <c r="B146" s="5" t="s">
        <v>39</v>
      </c>
      <c r="C146" s="5" t="s">
        <v>73</v>
      </c>
      <c r="D146" s="16" t="n">
        <v>46197</v>
      </c>
      <c r="E146" s="5" t="s">
        <v>398</v>
      </c>
      <c r="F146" s="5" t="n">
        <v>17</v>
      </c>
      <c r="G146" s="5" t="s">
        <v>385</v>
      </c>
      <c r="H146" s="5" t="s">
        <v>682</v>
      </c>
      <c r="I146" s="5" t="s">
        <v>683</v>
      </c>
      <c r="J146" s="5" t="n">
        <v>2024</v>
      </c>
      <c r="K146" s="5" t="s">
        <v>228</v>
      </c>
      <c r="L146" s="5" t="s">
        <v>684</v>
      </c>
      <c r="M146" s="5" t="s">
        <v>2208</v>
      </c>
      <c r="N146" s="5" t="s">
        <v>685</v>
      </c>
    </row>
    <row r="147" customFormat="false" ht="149.25" hidden="false" customHeight="false" outlineLevel="0" collapsed="false">
      <c r="A147" s="5" t="s">
        <v>2209</v>
      </c>
      <c r="B147" s="5" t="s">
        <v>39</v>
      </c>
      <c r="C147" s="5" t="s">
        <v>73</v>
      </c>
      <c r="D147" s="16" t="n">
        <v>46197</v>
      </c>
      <c r="E147" s="5" t="s">
        <v>398</v>
      </c>
      <c r="F147" s="5" t="n">
        <v>18</v>
      </c>
      <c r="G147" s="5" t="s">
        <v>385</v>
      </c>
      <c r="H147" s="5" t="s">
        <v>491</v>
      </c>
      <c r="I147" s="5" t="s">
        <v>492</v>
      </c>
      <c r="J147" s="5" t="n">
        <v>2022</v>
      </c>
      <c r="K147" s="5" t="s">
        <v>228</v>
      </c>
      <c r="L147" s="5" t="s">
        <v>493</v>
      </c>
      <c r="M147" s="5" t="s">
        <v>2210</v>
      </c>
      <c r="N147" s="5" t="s">
        <v>494</v>
      </c>
    </row>
    <row r="148" customFormat="false" ht="135.8" hidden="false" customHeight="false" outlineLevel="0" collapsed="false">
      <c r="A148" s="5" t="s">
        <v>2211</v>
      </c>
      <c r="B148" s="5" t="s">
        <v>39</v>
      </c>
      <c r="C148" s="5" t="s">
        <v>73</v>
      </c>
      <c r="D148" s="16" t="n">
        <v>46197</v>
      </c>
      <c r="E148" s="5" t="s">
        <v>398</v>
      </c>
      <c r="F148" s="5" t="n">
        <v>19</v>
      </c>
      <c r="G148" s="5" t="s">
        <v>385</v>
      </c>
      <c r="H148" s="5" t="s">
        <v>766</v>
      </c>
      <c r="I148" s="5" t="s">
        <v>767</v>
      </c>
      <c r="J148" s="5" t="n">
        <v>2020</v>
      </c>
      <c r="K148" s="5" t="s">
        <v>673</v>
      </c>
      <c r="L148" s="5" t="s">
        <v>768</v>
      </c>
      <c r="M148" s="5" t="s">
        <v>2212</v>
      </c>
      <c r="N148" s="5" t="s">
        <v>769</v>
      </c>
    </row>
    <row r="149" customFormat="false" ht="216.4" hidden="false" customHeight="false" outlineLevel="0" collapsed="false">
      <c r="A149" s="5" t="s">
        <v>2213</v>
      </c>
      <c r="B149" s="5" t="s">
        <v>39</v>
      </c>
      <c r="C149" s="5" t="s">
        <v>73</v>
      </c>
      <c r="D149" s="16" t="n">
        <v>46197</v>
      </c>
      <c r="E149" s="5" t="s">
        <v>398</v>
      </c>
      <c r="F149" s="5" t="n">
        <v>20</v>
      </c>
      <c r="G149" s="5" t="s">
        <v>385</v>
      </c>
      <c r="H149" s="5" t="s">
        <v>418</v>
      </c>
      <c r="I149" s="5" t="s">
        <v>419</v>
      </c>
      <c r="J149" s="5" t="n">
        <v>2026</v>
      </c>
      <c r="K149" s="5" t="s">
        <v>420</v>
      </c>
      <c r="L149" s="5" t="s">
        <v>421</v>
      </c>
      <c r="M149" s="5" t="s">
        <v>2214</v>
      </c>
      <c r="N149" s="5" t="s">
        <v>422</v>
      </c>
    </row>
    <row r="150" customFormat="false" ht="122.35" hidden="false" customHeight="false" outlineLevel="0" collapsed="false">
      <c r="A150" s="5" t="s">
        <v>2215</v>
      </c>
      <c r="B150" s="5" t="s">
        <v>39</v>
      </c>
      <c r="C150" s="5" t="s">
        <v>73</v>
      </c>
      <c r="D150" s="16" t="n">
        <v>46197</v>
      </c>
      <c r="E150" s="5" t="s">
        <v>398</v>
      </c>
      <c r="F150" s="5" t="n">
        <v>21</v>
      </c>
      <c r="G150" s="5" t="s">
        <v>385</v>
      </c>
      <c r="H150" s="5" t="s">
        <v>946</v>
      </c>
      <c r="I150" s="5" t="s">
        <v>947</v>
      </c>
      <c r="J150" s="5" t="n">
        <v>2019</v>
      </c>
      <c r="K150" s="5" t="s">
        <v>228</v>
      </c>
      <c r="L150" s="5" t="s">
        <v>948</v>
      </c>
      <c r="M150" s="5" t="s">
        <v>2216</v>
      </c>
      <c r="N150" s="5" t="s">
        <v>949</v>
      </c>
    </row>
    <row r="151" customFormat="false" ht="189.55" hidden="false" customHeight="false" outlineLevel="0" collapsed="false">
      <c r="A151" s="5" t="s">
        <v>2217</v>
      </c>
      <c r="B151" s="5" t="s">
        <v>39</v>
      </c>
      <c r="C151" s="5" t="s">
        <v>73</v>
      </c>
      <c r="D151" s="16" t="n">
        <v>46197</v>
      </c>
      <c r="E151" s="5" t="s">
        <v>398</v>
      </c>
      <c r="F151" s="5" t="n">
        <v>22</v>
      </c>
      <c r="G151" s="5" t="s">
        <v>385</v>
      </c>
      <c r="H151" s="5" t="s">
        <v>1123</v>
      </c>
      <c r="I151" s="5" t="s">
        <v>1124</v>
      </c>
      <c r="J151" s="5" t="n">
        <v>2020</v>
      </c>
      <c r="K151" s="5" t="s">
        <v>228</v>
      </c>
      <c r="L151" s="5" t="s">
        <v>1125</v>
      </c>
      <c r="M151" s="5" t="s">
        <v>2218</v>
      </c>
      <c r="N151" s="5" t="s">
        <v>1126</v>
      </c>
    </row>
    <row r="152" customFormat="false" ht="176.1" hidden="false" customHeight="false" outlineLevel="0" collapsed="false">
      <c r="A152" s="5" t="s">
        <v>2219</v>
      </c>
      <c r="B152" s="5" t="s">
        <v>39</v>
      </c>
      <c r="C152" s="5" t="s">
        <v>73</v>
      </c>
      <c r="D152" s="16" t="n">
        <v>46197</v>
      </c>
      <c r="E152" s="5" t="s">
        <v>398</v>
      </c>
      <c r="F152" s="5" t="n">
        <v>23</v>
      </c>
      <c r="G152" s="5" t="s">
        <v>385</v>
      </c>
      <c r="H152" s="5" t="s">
        <v>843</v>
      </c>
      <c r="I152" s="5" t="s">
        <v>844</v>
      </c>
      <c r="J152" s="5" t="n">
        <v>2019</v>
      </c>
      <c r="K152" s="5" t="s">
        <v>845</v>
      </c>
      <c r="L152" s="5" t="s">
        <v>846</v>
      </c>
      <c r="M152" s="5" t="s">
        <v>2220</v>
      </c>
      <c r="N152" s="5" t="s">
        <v>847</v>
      </c>
    </row>
    <row r="153" customFormat="false" ht="229.85" hidden="false" customHeight="false" outlineLevel="0" collapsed="false">
      <c r="A153" s="5" t="s">
        <v>2221</v>
      </c>
      <c r="B153" s="5" t="s">
        <v>39</v>
      </c>
      <c r="C153" s="5" t="s">
        <v>73</v>
      </c>
      <c r="D153" s="16" t="n">
        <v>46197</v>
      </c>
      <c r="E153" s="5" t="s">
        <v>398</v>
      </c>
      <c r="F153" s="5" t="n">
        <v>24</v>
      </c>
      <c r="G153" s="5" t="s">
        <v>385</v>
      </c>
      <c r="H153" s="5" t="s">
        <v>485</v>
      </c>
      <c r="I153" s="5" t="s">
        <v>486</v>
      </c>
      <c r="J153" s="5" t="n">
        <v>2025</v>
      </c>
      <c r="K153" s="5" t="s">
        <v>487</v>
      </c>
      <c r="L153" s="5" t="s">
        <v>488</v>
      </c>
      <c r="M153" s="5" t="s">
        <v>2222</v>
      </c>
      <c r="N153" s="5" t="s">
        <v>489</v>
      </c>
    </row>
    <row r="154" customFormat="false" ht="202.95" hidden="false" customHeight="false" outlineLevel="0" collapsed="false">
      <c r="A154" s="5" t="s">
        <v>2223</v>
      </c>
      <c r="B154" s="5" t="s">
        <v>39</v>
      </c>
      <c r="C154" s="5" t="s">
        <v>73</v>
      </c>
      <c r="D154" s="16" t="n">
        <v>46197</v>
      </c>
      <c r="E154" s="5" t="s">
        <v>398</v>
      </c>
      <c r="F154" s="5" t="n">
        <v>25</v>
      </c>
      <c r="G154" s="5" t="s">
        <v>385</v>
      </c>
      <c r="H154" s="5" t="s">
        <v>1091</v>
      </c>
      <c r="I154" s="5" t="s">
        <v>1092</v>
      </c>
      <c r="J154" s="5" t="n">
        <v>2026</v>
      </c>
      <c r="K154" s="5" t="s">
        <v>924</v>
      </c>
      <c r="L154" s="5" t="s">
        <v>1093</v>
      </c>
      <c r="M154" s="5" t="s">
        <v>2224</v>
      </c>
      <c r="N154" s="5" t="s">
        <v>1094</v>
      </c>
    </row>
    <row r="155" customFormat="false" ht="176.1" hidden="false" customHeight="false" outlineLevel="0" collapsed="false">
      <c r="A155" s="5" t="s">
        <v>2225</v>
      </c>
      <c r="B155" s="5" t="s">
        <v>39</v>
      </c>
      <c r="C155" s="5" t="s">
        <v>73</v>
      </c>
      <c r="D155" s="16" t="n">
        <v>46197</v>
      </c>
      <c r="E155" s="5" t="s">
        <v>398</v>
      </c>
      <c r="F155" s="5" t="n">
        <v>26</v>
      </c>
      <c r="G155" s="5" t="s">
        <v>385</v>
      </c>
      <c r="H155" s="5" t="s">
        <v>822</v>
      </c>
      <c r="I155" s="5" t="s">
        <v>823</v>
      </c>
      <c r="J155" s="5" t="n">
        <v>2025</v>
      </c>
      <c r="K155" s="5" t="s">
        <v>228</v>
      </c>
      <c r="L155" s="5" t="s">
        <v>824</v>
      </c>
      <c r="M155" s="5" t="s">
        <v>2226</v>
      </c>
      <c r="N155" s="5" t="s">
        <v>825</v>
      </c>
    </row>
    <row r="156" customFormat="false" ht="216.4" hidden="false" customHeight="false" outlineLevel="0" collapsed="false">
      <c r="A156" s="5" t="s">
        <v>2227</v>
      </c>
      <c r="B156" s="5" t="s">
        <v>39</v>
      </c>
      <c r="C156" s="5" t="s">
        <v>73</v>
      </c>
      <c r="D156" s="16" t="n">
        <v>46197</v>
      </c>
      <c r="E156" s="5" t="s">
        <v>398</v>
      </c>
      <c r="F156" s="5" t="n">
        <v>27</v>
      </c>
      <c r="G156" s="5" t="s">
        <v>385</v>
      </c>
      <c r="H156" s="5" t="s">
        <v>1152</v>
      </c>
      <c r="I156" s="5" t="s">
        <v>1153</v>
      </c>
      <c r="J156" s="5" t="n">
        <v>2024</v>
      </c>
      <c r="K156" s="5" t="s">
        <v>228</v>
      </c>
      <c r="L156" s="5" t="s">
        <v>1154</v>
      </c>
      <c r="M156" s="5" t="s">
        <v>2228</v>
      </c>
      <c r="N156" s="5" t="s">
        <v>1155</v>
      </c>
    </row>
    <row r="157" customFormat="false" ht="202.95" hidden="false" customHeight="false" outlineLevel="0" collapsed="false">
      <c r="A157" s="5" t="s">
        <v>2229</v>
      </c>
      <c r="B157" s="5" t="s">
        <v>39</v>
      </c>
      <c r="C157" s="5" t="s">
        <v>73</v>
      </c>
      <c r="D157" s="16" t="n">
        <v>46197</v>
      </c>
      <c r="E157" s="5" t="s">
        <v>398</v>
      </c>
      <c r="F157" s="5" t="n">
        <v>28</v>
      </c>
      <c r="G157" s="5" t="s">
        <v>385</v>
      </c>
      <c r="H157" s="5" t="s">
        <v>984</v>
      </c>
      <c r="I157" s="5" t="s">
        <v>985</v>
      </c>
      <c r="J157" s="5" t="n">
        <v>2025</v>
      </c>
      <c r="K157" s="5" t="s">
        <v>228</v>
      </c>
      <c r="L157" s="5" t="s">
        <v>986</v>
      </c>
      <c r="M157" s="5" t="s">
        <v>2230</v>
      </c>
      <c r="N157" s="5" t="s">
        <v>987</v>
      </c>
    </row>
    <row r="158" customFormat="false" ht="270.1" hidden="false" customHeight="false" outlineLevel="0" collapsed="false">
      <c r="A158" s="5" t="s">
        <v>2231</v>
      </c>
      <c r="B158" s="5" t="s">
        <v>39</v>
      </c>
      <c r="C158" s="5" t="s">
        <v>73</v>
      </c>
      <c r="D158" s="16" t="n">
        <v>46197</v>
      </c>
      <c r="E158" s="5" t="s">
        <v>398</v>
      </c>
      <c r="F158" s="5" t="n">
        <v>29</v>
      </c>
      <c r="G158" s="5" t="s">
        <v>385</v>
      </c>
      <c r="H158" s="5" t="s">
        <v>510</v>
      </c>
      <c r="I158" s="5" t="s">
        <v>511</v>
      </c>
      <c r="J158" s="5" t="n">
        <v>2025</v>
      </c>
      <c r="K158" s="5" t="s">
        <v>228</v>
      </c>
      <c r="L158" s="5" t="s">
        <v>512</v>
      </c>
      <c r="M158" s="5" t="s">
        <v>2232</v>
      </c>
      <c r="N158" s="5" t="s">
        <v>513</v>
      </c>
    </row>
    <row r="159" customFormat="false" ht="149.25" hidden="false" customHeight="false" outlineLevel="0" collapsed="false">
      <c r="A159" s="5" t="s">
        <v>2233</v>
      </c>
      <c r="B159" s="5" t="s">
        <v>39</v>
      </c>
      <c r="C159" s="5" t="s">
        <v>73</v>
      </c>
      <c r="D159" s="16" t="n">
        <v>46197</v>
      </c>
      <c r="E159" s="5" t="s">
        <v>398</v>
      </c>
      <c r="F159" s="5" t="n">
        <v>30</v>
      </c>
      <c r="G159" s="5" t="s">
        <v>385</v>
      </c>
      <c r="H159" s="5" t="s">
        <v>807</v>
      </c>
      <c r="I159" s="5" t="s">
        <v>808</v>
      </c>
      <c r="J159" s="5" t="n">
        <v>2024</v>
      </c>
      <c r="K159" s="5" t="s">
        <v>809</v>
      </c>
      <c r="L159" s="5" t="s">
        <v>810</v>
      </c>
      <c r="M159" s="5" t="s">
        <v>2234</v>
      </c>
      <c r="N159" s="5" t="s">
        <v>811</v>
      </c>
    </row>
    <row r="160" customFormat="false" ht="243.25" hidden="false" customHeight="false" outlineLevel="0" collapsed="false">
      <c r="A160" s="5" t="s">
        <v>2235</v>
      </c>
      <c r="B160" s="5" t="s">
        <v>39</v>
      </c>
      <c r="C160" s="5" t="s">
        <v>73</v>
      </c>
      <c r="D160" s="16" t="n">
        <v>46197</v>
      </c>
      <c r="E160" s="5" t="s">
        <v>398</v>
      </c>
      <c r="F160" s="5" t="n">
        <v>31</v>
      </c>
      <c r="G160" s="5" t="s">
        <v>385</v>
      </c>
      <c r="H160" s="5" t="s">
        <v>583</v>
      </c>
      <c r="I160" s="5" t="s">
        <v>584</v>
      </c>
      <c r="J160" s="5" t="n">
        <v>2026</v>
      </c>
      <c r="K160" s="5" t="s">
        <v>228</v>
      </c>
      <c r="L160" s="5" t="s">
        <v>585</v>
      </c>
      <c r="M160" s="5" t="s">
        <v>2236</v>
      </c>
      <c r="N160" s="5" t="s">
        <v>586</v>
      </c>
    </row>
    <row r="161" customFormat="false" ht="176.1" hidden="false" customHeight="false" outlineLevel="0" collapsed="false">
      <c r="A161" s="5" t="s">
        <v>2237</v>
      </c>
      <c r="B161" s="5" t="s">
        <v>39</v>
      </c>
      <c r="C161" s="5" t="s">
        <v>73</v>
      </c>
      <c r="D161" s="16" t="n">
        <v>46197</v>
      </c>
      <c r="E161" s="5" t="s">
        <v>398</v>
      </c>
      <c r="F161" s="5" t="n">
        <v>32</v>
      </c>
      <c r="G161" s="5" t="s">
        <v>385</v>
      </c>
      <c r="H161" s="5" t="s">
        <v>563</v>
      </c>
      <c r="I161" s="5" t="s">
        <v>564</v>
      </c>
      <c r="J161" s="5" t="n">
        <v>2024</v>
      </c>
      <c r="K161" s="5" t="s">
        <v>228</v>
      </c>
      <c r="L161" s="5" t="s">
        <v>565</v>
      </c>
      <c r="M161" s="5" t="s">
        <v>2238</v>
      </c>
      <c r="N161" s="5" t="s">
        <v>566</v>
      </c>
    </row>
    <row r="162" customFormat="false" ht="176.1" hidden="false" customHeight="false" outlineLevel="0" collapsed="false">
      <c r="A162" s="5" t="s">
        <v>2239</v>
      </c>
      <c r="B162" s="5" t="s">
        <v>39</v>
      </c>
      <c r="C162" s="5" t="s">
        <v>73</v>
      </c>
      <c r="D162" s="16" t="n">
        <v>46197</v>
      </c>
      <c r="E162" s="5" t="s">
        <v>398</v>
      </c>
      <c r="F162" s="5" t="n">
        <v>33</v>
      </c>
      <c r="G162" s="5" t="s">
        <v>385</v>
      </c>
      <c r="H162" s="5" t="s">
        <v>671</v>
      </c>
      <c r="I162" s="5" t="s">
        <v>672</v>
      </c>
      <c r="J162" s="5" t="n">
        <v>2026</v>
      </c>
      <c r="K162" s="5" t="s">
        <v>673</v>
      </c>
      <c r="L162" s="5" t="s">
        <v>674</v>
      </c>
      <c r="M162" s="5" t="s">
        <v>2240</v>
      </c>
      <c r="N162" s="5" t="s">
        <v>675</v>
      </c>
    </row>
    <row r="163" customFormat="false" ht="149.25" hidden="false" customHeight="false" outlineLevel="0" collapsed="false">
      <c r="A163" s="5" t="s">
        <v>2241</v>
      </c>
      <c r="B163" s="5" t="s">
        <v>39</v>
      </c>
      <c r="C163" s="5" t="s">
        <v>73</v>
      </c>
      <c r="D163" s="16" t="n">
        <v>46197</v>
      </c>
      <c r="E163" s="5" t="s">
        <v>398</v>
      </c>
      <c r="F163" s="5" t="n">
        <v>34</v>
      </c>
      <c r="G163" s="5" t="s">
        <v>385</v>
      </c>
      <c r="H163" s="5" t="s">
        <v>859</v>
      </c>
      <c r="I163" s="5" t="s">
        <v>860</v>
      </c>
      <c r="J163" s="5" t="n">
        <v>2024</v>
      </c>
      <c r="K163" s="5" t="s">
        <v>228</v>
      </c>
      <c r="L163" s="5" t="s">
        <v>861</v>
      </c>
      <c r="M163" s="5" t="s">
        <v>2242</v>
      </c>
      <c r="N163" s="5" t="s">
        <v>862</v>
      </c>
    </row>
    <row r="164" customFormat="false" ht="176.1" hidden="false" customHeight="false" outlineLevel="0" collapsed="false">
      <c r="A164" s="5" t="s">
        <v>2243</v>
      </c>
      <c r="B164" s="5" t="s">
        <v>39</v>
      </c>
      <c r="C164" s="5" t="s">
        <v>73</v>
      </c>
      <c r="D164" s="16" t="n">
        <v>46197</v>
      </c>
      <c r="E164" s="5" t="s">
        <v>398</v>
      </c>
      <c r="F164" s="5" t="n">
        <v>35</v>
      </c>
      <c r="G164" s="5" t="s">
        <v>385</v>
      </c>
      <c r="H164" s="5" t="s">
        <v>1239</v>
      </c>
      <c r="I164" s="5" t="s">
        <v>1240</v>
      </c>
      <c r="J164" s="5" t="n">
        <v>2025</v>
      </c>
      <c r="K164" s="5" t="s">
        <v>1241</v>
      </c>
      <c r="L164" s="5" t="s">
        <v>1242</v>
      </c>
      <c r="M164" s="5" t="s">
        <v>2244</v>
      </c>
      <c r="N164" s="5" t="s">
        <v>1243</v>
      </c>
    </row>
    <row r="165" customFormat="false" ht="229.85" hidden="false" customHeight="false" outlineLevel="0" collapsed="false">
      <c r="A165" s="5" t="s">
        <v>2245</v>
      </c>
      <c r="B165" s="5" t="s">
        <v>39</v>
      </c>
      <c r="C165" s="5" t="s">
        <v>73</v>
      </c>
      <c r="D165" s="16" t="n">
        <v>46197</v>
      </c>
      <c r="E165" s="5" t="s">
        <v>398</v>
      </c>
      <c r="F165" s="5" t="n">
        <v>36</v>
      </c>
      <c r="G165" s="5" t="s">
        <v>385</v>
      </c>
      <c r="H165" s="5" t="s">
        <v>687</v>
      </c>
      <c r="I165" s="5" t="s">
        <v>688</v>
      </c>
      <c r="J165" s="5" t="n">
        <v>2025</v>
      </c>
      <c r="K165" s="5" t="s">
        <v>228</v>
      </c>
      <c r="L165" s="5" t="s">
        <v>689</v>
      </c>
      <c r="M165" s="5" t="s">
        <v>2246</v>
      </c>
      <c r="N165" s="5" t="s">
        <v>690</v>
      </c>
    </row>
    <row r="166" customFormat="false" ht="176.1" hidden="false" customHeight="false" outlineLevel="0" collapsed="false">
      <c r="A166" s="5" t="s">
        <v>2247</v>
      </c>
      <c r="B166" s="5" t="s">
        <v>39</v>
      </c>
      <c r="C166" s="5" t="s">
        <v>73</v>
      </c>
      <c r="D166" s="16" t="n">
        <v>46197</v>
      </c>
      <c r="E166" s="5" t="s">
        <v>398</v>
      </c>
      <c r="F166" s="5" t="n">
        <v>37</v>
      </c>
      <c r="G166" s="5" t="s">
        <v>385</v>
      </c>
      <c r="H166" s="5" t="s">
        <v>771</v>
      </c>
      <c r="I166" s="5" t="s">
        <v>772</v>
      </c>
      <c r="J166" s="5" t="n">
        <v>2024</v>
      </c>
      <c r="K166" s="5" t="s">
        <v>773</v>
      </c>
      <c r="L166" s="5" t="s">
        <v>774</v>
      </c>
      <c r="M166" s="5" t="s">
        <v>2248</v>
      </c>
      <c r="N166" s="5" t="s">
        <v>775</v>
      </c>
    </row>
    <row r="167" customFormat="false" ht="135.8" hidden="false" customHeight="false" outlineLevel="0" collapsed="false">
      <c r="A167" s="5" t="s">
        <v>2249</v>
      </c>
      <c r="B167" s="5" t="s">
        <v>39</v>
      </c>
      <c r="C167" s="5" t="s">
        <v>73</v>
      </c>
      <c r="D167" s="16" t="n">
        <v>46197</v>
      </c>
      <c r="E167" s="5" t="s">
        <v>398</v>
      </c>
      <c r="F167" s="5" t="n">
        <v>38</v>
      </c>
      <c r="G167" s="5" t="s">
        <v>385</v>
      </c>
      <c r="H167" s="5" t="s">
        <v>813</v>
      </c>
      <c r="I167" s="5" t="s">
        <v>814</v>
      </c>
      <c r="J167" s="5" t="n">
        <v>2026</v>
      </c>
      <c r="K167" s="5" t="s">
        <v>228</v>
      </c>
      <c r="L167" s="5" t="s">
        <v>815</v>
      </c>
      <c r="M167" s="5" t="s">
        <v>2250</v>
      </c>
      <c r="N167" s="5" t="s">
        <v>816</v>
      </c>
    </row>
    <row r="168" customFormat="false" ht="162.65" hidden="false" customHeight="false" outlineLevel="0" collapsed="false">
      <c r="A168" s="5" t="s">
        <v>2251</v>
      </c>
      <c r="B168" s="5" t="s">
        <v>39</v>
      </c>
      <c r="C168" s="5" t="s">
        <v>73</v>
      </c>
      <c r="D168" s="16" t="n">
        <v>46197</v>
      </c>
      <c r="E168" s="5" t="s">
        <v>398</v>
      </c>
      <c r="F168" s="5" t="n">
        <v>39</v>
      </c>
      <c r="G168" s="5" t="s">
        <v>385</v>
      </c>
      <c r="H168" s="5" t="s">
        <v>515</v>
      </c>
      <c r="I168" s="5" t="s">
        <v>516</v>
      </c>
      <c r="J168" s="5" t="n">
        <v>2021</v>
      </c>
      <c r="K168" s="5" t="s">
        <v>517</v>
      </c>
      <c r="L168" s="5" t="s">
        <v>518</v>
      </c>
      <c r="M168" s="5" t="s">
        <v>2252</v>
      </c>
      <c r="N168" s="5" t="s">
        <v>519</v>
      </c>
    </row>
    <row r="169" customFormat="false" ht="122.35" hidden="false" customHeight="false" outlineLevel="0" collapsed="false">
      <c r="A169" s="5" t="s">
        <v>2253</v>
      </c>
      <c r="B169" s="5" t="s">
        <v>39</v>
      </c>
      <c r="C169" s="5" t="s">
        <v>73</v>
      </c>
      <c r="D169" s="16" t="n">
        <v>46197</v>
      </c>
      <c r="E169" s="5" t="s">
        <v>398</v>
      </c>
      <c r="F169" s="5" t="n">
        <v>40</v>
      </c>
      <c r="G169" s="5" t="s">
        <v>385</v>
      </c>
      <c r="H169" s="5" t="s">
        <v>901</v>
      </c>
      <c r="I169" s="5" t="s">
        <v>902</v>
      </c>
      <c r="J169" s="5" t="n">
        <v>2025</v>
      </c>
      <c r="K169" s="5" t="s">
        <v>903</v>
      </c>
      <c r="L169" s="5" t="s">
        <v>904</v>
      </c>
      <c r="M169" s="5" t="s">
        <v>2254</v>
      </c>
      <c r="N169" s="5" t="s">
        <v>905</v>
      </c>
    </row>
    <row r="170" customFormat="false" ht="176.1" hidden="false" customHeight="false" outlineLevel="0" collapsed="false">
      <c r="A170" s="5" t="s">
        <v>2255</v>
      </c>
      <c r="B170" s="5" t="s">
        <v>39</v>
      </c>
      <c r="C170" s="5" t="s">
        <v>73</v>
      </c>
      <c r="D170" s="16" t="n">
        <v>46197</v>
      </c>
      <c r="E170" s="5" t="s">
        <v>398</v>
      </c>
      <c r="F170" s="5" t="n">
        <v>41</v>
      </c>
      <c r="G170" s="5" t="s">
        <v>385</v>
      </c>
      <c r="H170" s="5" t="s">
        <v>751</v>
      </c>
      <c r="I170" s="5" t="s">
        <v>752</v>
      </c>
      <c r="J170" s="5" t="n">
        <v>2021</v>
      </c>
      <c r="K170" s="5" t="s">
        <v>228</v>
      </c>
      <c r="L170" s="5" t="s">
        <v>753</v>
      </c>
      <c r="M170" s="5" t="s">
        <v>2256</v>
      </c>
      <c r="N170" s="5" t="s">
        <v>754</v>
      </c>
    </row>
    <row r="171" customFormat="false" ht="202.95" hidden="false" customHeight="false" outlineLevel="0" collapsed="false">
      <c r="A171" s="5" t="s">
        <v>2257</v>
      </c>
      <c r="B171" s="5" t="s">
        <v>39</v>
      </c>
      <c r="C171" s="5" t="s">
        <v>73</v>
      </c>
      <c r="D171" s="16" t="n">
        <v>46197</v>
      </c>
      <c r="E171" s="5" t="s">
        <v>398</v>
      </c>
      <c r="F171" s="5" t="n">
        <v>42</v>
      </c>
      <c r="G171" s="5" t="s">
        <v>385</v>
      </c>
      <c r="H171" s="5" t="s">
        <v>797</v>
      </c>
      <c r="I171" s="5" t="s">
        <v>798</v>
      </c>
      <c r="J171" s="5" t="n">
        <v>2023</v>
      </c>
      <c r="K171" s="5" t="s">
        <v>673</v>
      </c>
      <c r="L171" s="5" t="s">
        <v>799</v>
      </c>
      <c r="M171" s="5" t="s">
        <v>2258</v>
      </c>
      <c r="N171" s="5" t="s">
        <v>800</v>
      </c>
    </row>
    <row r="172" customFormat="false" ht="149.25" hidden="false" customHeight="false" outlineLevel="0" collapsed="false">
      <c r="A172" s="5" t="s">
        <v>2259</v>
      </c>
      <c r="B172" s="5" t="s">
        <v>39</v>
      </c>
      <c r="C172" s="5" t="s">
        <v>73</v>
      </c>
      <c r="D172" s="16" t="n">
        <v>46197</v>
      </c>
      <c r="E172" s="5" t="s">
        <v>398</v>
      </c>
      <c r="F172" s="5" t="n">
        <v>43</v>
      </c>
      <c r="G172" s="5" t="s">
        <v>385</v>
      </c>
      <c r="H172" s="5" t="s">
        <v>890</v>
      </c>
      <c r="I172" s="5" t="s">
        <v>891</v>
      </c>
      <c r="J172" s="5" t="n">
        <v>2024</v>
      </c>
      <c r="K172" s="5" t="s">
        <v>228</v>
      </c>
      <c r="L172" s="5" t="s">
        <v>892</v>
      </c>
      <c r="M172" s="5" t="s">
        <v>2260</v>
      </c>
      <c r="N172" s="5" t="s">
        <v>893</v>
      </c>
    </row>
    <row r="173" customFormat="false" ht="189.55" hidden="false" customHeight="false" outlineLevel="0" collapsed="false">
      <c r="A173" s="5" t="s">
        <v>2261</v>
      </c>
      <c r="B173" s="5" t="s">
        <v>39</v>
      </c>
      <c r="C173" s="5" t="s">
        <v>73</v>
      </c>
      <c r="D173" s="16" t="n">
        <v>46197</v>
      </c>
      <c r="E173" s="5" t="s">
        <v>398</v>
      </c>
      <c r="F173" s="5" t="n">
        <v>44</v>
      </c>
      <c r="G173" s="5" t="s">
        <v>385</v>
      </c>
      <c r="H173" s="5" t="s">
        <v>629</v>
      </c>
      <c r="I173" s="5" t="s">
        <v>630</v>
      </c>
      <c r="J173" s="5" t="n">
        <v>2024</v>
      </c>
      <c r="K173" s="5" t="s">
        <v>228</v>
      </c>
      <c r="L173" s="5" t="s">
        <v>631</v>
      </c>
      <c r="M173" s="5" t="s">
        <v>2262</v>
      </c>
      <c r="N173" s="5" t="s">
        <v>632</v>
      </c>
    </row>
    <row r="174" customFormat="false" ht="162.65" hidden="false" customHeight="false" outlineLevel="0" collapsed="false">
      <c r="A174" s="5" t="s">
        <v>2263</v>
      </c>
      <c r="B174" s="5" t="s">
        <v>39</v>
      </c>
      <c r="C174" s="5" t="s">
        <v>73</v>
      </c>
      <c r="D174" s="16" t="n">
        <v>46197</v>
      </c>
      <c r="E174" s="5" t="s">
        <v>398</v>
      </c>
      <c r="F174" s="5" t="n">
        <v>45</v>
      </c>
      <c r="G174" s="5" t="s">
        <v>385</v>
      </c>
      <c r="H174" s="5" t="s">
        <v>956</v>
      </c>
      <c r="I174" s="5" t="s">
        <v>957</v>
      </c>
      <c r="J174" s="5" t="n">
        <v>2020</v>
      </c>
      <c r="K174" s="5" t="s">
        <v>958</v>
      </c>
      <c r="L174" s="5" t="s">
        <v>959</v>
      </c>
      <c r="M174" s="5" t="s">
        <v>2264</v>
      </c>
      <c r="N174" s="5" t="s">
        <v>960</v>
      </c>
    </row>
    <row r="175" customFormat="false" ht="202.95" hidden="false" customHeight="false" outlineLevel="0" collapsed="false">
      <c r="A175" s="5" t="s">
        <v>2265</v>
      </c>
      <c r="B175" s="5" t="s">
        <v>39</v>
      </c>
      <c r="C175" s="5" t="s">
        <v>73</v>
      </c>
      <c r="D175" s="16" t="n">
        <v>46197</v>
      </c>
      <c r="E175" s="5" t="s">
        <v>398</v>
      </c>
      <c r="F175" s="5" t="n">
        <v>46</v>
      </c>
      <c r="G175" s="5" t="s">
        <v>385</v>
      </c>
      <c r="H175" s="5" t="s">
        <v>864</v>
      </c>
      <c r="I175" s="5" t="s">
        <v>865</v>
      </c>
      <c r="J175" s="5" t="n">
        <v>2024</v>
      </c>
      <c r="K175" s="5" t="s">
        <v>228</v>
      </c>
      <c r="L175" s="5" t="s">
        <v>866</v>
      </c>
      <c r="M175" s="5" t="s">
        <v>2266</v>
      </c>
      <c r="N175" s="5" t="s">
        <v>867</v>
      </c>
    </row>
    <row r="176" customFormat="false" ht="229.85" hidden="false" customHeight="false" outlineLevel="0" collapsed="false">
      <c r="A176" s="5" t="s">
        <v>2267</v>
      </c>
      <c r="B176" s="5" t="s">
        <v>39</v>
      </c>
      <c r="C176" s="5" t="s">
        <v>73</v>
      </c>
      <c r="D176" s="16" t="n">
        <v>46197</v>
      </c>
      <c r="E176" s="5" t="s">
        <v>398</v>
      </c>
      <c r="F176" s="5" t="n">
        <v>47</v>
      </c>
      <c r="G176" s="5" t="s">
        <v>385</v>
      </c>
      <c r="H176" s="5" t="s">
        <v>777</v>
      </c>
      <c r="I176" s="5" t="s">
        <v>778</v>
      </c>
      <c r="J176" s="5" t="n">
        <v>2025</v>
      </c>
      <c r="K176" s="5" t="s">
        <v>228</v>
      </c>
      <c r="L176" s="5" t="s">
        <v>779</v>
      </c>
      <c r="M176" s="5" t="s">
        <v>2268</v>
      </c>
      <c r="N176" s="5" t="s">
        <v>780</v>
      </c>
    </row>
    <row r="177" customFormat="false" ht="122.35" hidden="false" customHeight="false" outlineLevel="0" collapsed="false">
      <c r="A177" s="5" t="s">
        <v>2269</v>
      </c>
      <c r="B177" s="5" t="s">
        <v>39</v>
      </c>
      <c r="C177" s="5" t="s">
        <v>73</v>
      </c>
      <c r="D177" s="16" t="n">
        <v>46197</v>
      </c>
      <c r="E177" s="5" t="s">
        <v>398</v>
      </c>
      <c r="F177" s="5" t="n">
        <v>48</v>
      </c>
      <c r="G177" s="5" t="s">
        <v>385</v>
      </c>
      <c r="H177" s="5" t="s">
        <v>1211</v>
      </c>
      <c r="I177" s="5" t="s">
        <v>1212</v>
      </c>
      <c r="J177" s="5" t="n">
        <v>2020</v>
      </c>
      <c r="K177" s="5" t="s">
        <v>1213</v>
      </c>
      <c r="L177" s="5" t="s">
        <v>1214</v>
      </c>
      <c r="M177" s="5" t="s">
        <v>2270</v>
      </c>
      <c r="N177" s="5" t="s">
        <v>1215</v>
      </c>
    </row>
    <row r="178" customFormat="false" ht="310.4" hidden="false" customHeight="false" outlineLevel="0" collapsed="false">
      <c r="A178" s="5" t="s">
        <v>2271</v>
      </c>
      <c r="B178" s="5" t="s">
        <v>39</v>
      </c>
      <c r="C178" s="5" t="s">
        <v>73</v>
      </c>
      <c r="D178" s="16" t="n">
        <v>46197</v>
      </c>
      <c r="E178" s="5" t="s">
        <v>398</v>
      </c>
      <c r="F178" s="5" t="n">
        <v>49</v>
      </c>
      <c r="G178" s="5" t="s">
        <v>385</v>
      </c>
      <c r="H178" s="5" t="s">
        <v>568</v>
      </c>
      <c r="I178" s="5" t="s">
        <v>569</v>
      </c>
      <c r="J178" s="5" t="n">
        <v>2024</v>
      </c>
      <c r="K178" s="5" t="s">
        <v>228</v>
      </c>
      <c r="L178" s="5" t="s">
        <v>570</v>
      </c>
      <c r="M178" s="5" t="s">
        <v>2272</v>
      </c>
      <c r="N178" s="5" t="s">
        <v>571</v>
      </c>
    </row>
    <row r="179" customFormat="false" ht="162.65" hidden="false" customHeight="false" outlineLevel="0" collapsed="false">
      <c r="A179" s="5" t="s">
        <v>2273</v>
      </c>
      <c r="B179" s="5" t="s">
        <v>39</v>
      </c>
      <c r="C179" s="5" t="s">
        <v>73</v>
      </c>
      <c r="D179" s="16" t="n">
        <v>46197</v>
      </c>
      <c r="E179" s="5" t="s">
        <v>398</v>
      </c>
      <c r="F179" s="5" t="n">
        <v>50</v>
      </c>
      <c r="G179" s="5" t="s">
        <v>385</v>
      </c>
      <c r="H179" s="5" t="s">
        <v>444</v>
      </c>
      <c r="I179" s="5" t="s">
        <v>445</v>
      </c>
      <c r="J179" s="5" t="n">
        <v>2026</v>
      </c>
      <c r="K179" s="5" t="s">
        <v>446</v>
      </c>
      <c r="L179" s="5" t="s">
        <v>447</v>
      </c>
      <c r="M179" s="5" t="s">
        <v>2274</v>
      </c>
      <c r="N179" s="5" t="s">
        <v>449</v>
      </c>
    </row>
    <row r="180" customFormat="false" ht="216.4" hidden="false" customHeight="false" outlineLevel="0" collapsed="false">
      <c r="A180" s="5" t="s">
        <v>2275</v>
      </c>
      <c r="B180" s="5" t="s">
        <v>39</v>
      </c>
      <c r="C180" s="5" t="s">
        <v>73</v>
      </c>
      <c r="D180" s="16" t="n">
        <v>46197</v>
      </c>
      <c r="E180" s="5" t="s">
        <v>398</v>
      </c>
      <c r="F180" s="5" t="n">
        <v>51</v>
      </c>
      <c r="G180" s="5" t="s">
        <v>385</v>
      </c>
      <c r="H180" s="5" t="s">
        <v>879</v>
      </c>
      <c r="I180" s="5" t="s">
        <v>880</v>
      </c>
      <c r="J180" s="5" t="n">
        <v>2023</v>
      </c>
      <c r="K180" s="5" t="s">
        <v>228</v>
      </c>
      <c r="L180" s="5" t="s">
        <v>881</v>
      </c>
      <c r="M180" s="5" t="s">
        <v>2276</v>
      </c>
      <c r="N180" s="5" t="s">
        <v>882</v>
      </c>
    </row>
    <row r="181" customFormat="false" ht="122.35" hidden="false" customHeight="false" outlineLevel="0" collapsed="false">
      <c r="A181" s="5" t="s">
        <v>2277</v>
      </c>
      <c r="B181" s="5" t="s">
        <v>39</v>
      </c>
      <c r="C181" s="5" t="s">
        <v>73</v>
      </c>
      <c r="D181" s="16" t="n">
        <v>46197</v>
      </c>
      <c r="E181" s="5" t="s">
        <v>398</v>
      </c>
      <c r="F181" s="5" t="n">
        <v>52</v>
      </c>
      <c r="G181" s="5" t="s">
        <v>385</v>
      </c>
      <c r="H181" s="5" t="s">
        <v>1167</v>
      </c>
      <c r="I181" s="5" t="s">
        <v>1168</v>
      </c>
      <c r="J181" s="5" t="n">
        <v>2018</v>
      </c>
      <c r="K181" s="5" t="s">
        <v>673</v>
      </c>
      <c r="L181" s="5" t="s">
        <v>1169</v>
      </c>
      <c r="M181" s="5" t="s">
        <v>1988</v>
      </c>
      <c r="N181" s="5" t="s">
        <v>1170</v>
      </c>
    </row>
    <row r="182" customFormat="false" ht="82.05" hidden="false" customHeight="false" outlineLevel="0" collapsed="false">
      <c r="A182" s="5" t="s">
        <v>2278</v>
      </c>
      <c r="B182" s="5" t="s">
        <v>39</v>
      </c>
      <c r="C182" s="5" t="s">
        <v>73</v>
      </c>
      <c r="D182" s="16" t="n">
        <v>46197</v>
      </c>
      <c r="E182" s="5" t="s">
        <v>398</v>
      </c>
      <c r="F182" s="5" t="n">
        <v>53</v>
      </c>
      <c r="G182" s="5" t="s">
        <v>385</v>
      </c>
      <c r="H182" s="5" t="s">
        <v>207</v>
      </c>
      <c r="I182" s="5" t="s">
        <v>208</v>
      </c>
      <c r="J182" s="5" t="n">
        <v>2021</v>
      </c>
      <c r="K182" s="5" t="s">
        <v>209</v>
      </c>
      <c r="L182" s="5" t="s">
        <v>210</v>
      </c>
      <c r="M182" s="5" t="s">
        <v>2013</v>
      </c>
      <c r="N182" s="5"/>
    </row>
    <row r="183" customFormat="false" ht="108.95" hidden="false" customHeight="false" outlineLevel="0" collapsed="false">
      <c r="A183" s="5" t="s">
        <v>2279</v>
      </c>
      <c r="B183" s="5" t="s">
        <v>39</v>
      </c>
      <c r="C183" s="5" t="s">
        <v>73</v>
      </c>
      <c r="D183" s="16" t="n">
        <v>46197</v>
      </c>
      <c r="E183" s="5" t="s">
        <v>398</v>
      </c>
      <c r="F183" s="5" t="n">
        <v>54</v>
      </c>
      <c r="G183" s="5" t="s">
        <v>385</v>
      </c>
      <c r="H183" s="5" t="s">
        <v>1006</v>
      </c>
      <c r="I183" s="5" t="s">
        <v>1007</v>
      </c>
      <c r="J183" s="5" t="n">
        <v>2026</v>
      </c>
      <c r="K183" s="5" t="s">
        <v>1008</v>
      </c>
      <c r="L183" s="5" t="s">
        <v>1009</v>
      </c>
      <c r="M183" s="5" t="s">
        <v>2280</v>
      </c>
      <c r="N183" s="5" t="s">
        <v>1010</v>
      </c>
    </row>
    <row r="184" customFormat="false" ht="270.1" hidden="false" customHeight="false" outlineLevel="0" collapsed="false">
      <c r="A184" s="5" t="s">
        <v>2281</v>
      </c>
      <c r="B184" s="5" t="s">
        <v>42</v>
      </c>
      <c r="C184" s="5" t="s">
        <v>69</v>
      </c>
      <c r="D184" s="16" t="n">
        <v>46265</v>
      </c>
      <c r="E184" s="5" t="s">
        <v>1265</v>
      </c>
      <c r="F184" s="5" t="n">
        <v>1</v>
      </c>
      <c r="G184" s="5" t="s">
        <v>385</v>
      </c>
      <c r="H184" s="5" t="s">
        <v>1582</v>
      </c>
      <c r="I184" s="5" t="s">
        <v>1583</v>
      </c>
      <c r="J184" s="5" t="n">
        <v>2026</v>
      </c>
      <c r="K184" s="5" t="s">
        <v>233</v>
      </c>
      <c r="L184" s="5" t="s">
        <v>1584</v>
      </c>
      <c r="M184" s="5"/>
      <c r="N184" s="5" t="s">
        <v>1587</v>
      </c>
    </row>
    <row r="185" customFormat="false" ht="189.55" hidden="false" customHeight="false" outlineLevel="0" collapsed="false">
      <c r="A185" s="5" t="s">
        <v>2282</v>
      </c>
      <c r="B185" s="5" t="s">
        <v>42</v>
      </c>
      <c r="C185" s="5" t="s">
        <v>69</v>
      </c>
      <c r="D185" s="16" t="n">
        <v>46265</v>
      </c>
      <c r="E185" s="5" t="s">
        <v>1265</v>
      </c>
      <c r="F185" s="5" t="n">
        <v>2</v>
      </c>
      <c r="G185" s="5" t="s">
        <v>385</v>
      </c>
      <c r="H185" s="5" t="s">
        <v>531</v>
      </c>
      <c r="I185" s="5" t="s">
        <v>532</v>
      </c>
      <c r="J185" s="5" t="n">
        <v>2022</v>
      </c>
      <c r="K185" s="5" t="s">
        <v>254</v>
      </c>
      <c r="L185" s="5" t="s">
        <v>533</v>
      </c>
      <c r="M185" s="5"/>
      <c r="N185" s="5" t="s">
        <v>1388</v>
      </c>
    </row>
    <row r="186" customFormat="false" ht="162.65" hidden="false" customHeight="false" outlineLevel="0" collapsed="false">
      <c r="A186" s="5" t="s">
        <v>2283</v>
      </c>
      <c r="B186" s="5" t="s">
        <v>42</v>
      </c>
      <c r="C186" s="5" t="s">
        <v>69</v>
      </c>
      <c r="D186" s="16" t="n">
        <v>46265</v>
      </c>
      <c r="E186" s="5" t="s">
        <v>1265</v>
      </c>
      <c r="F186" s="5" t="n">
        <v>3</v>
      </c>
      <c r="G186" s="5" t="s">
        <v>385</v>
      </c>
      <c r="H186" s="5" t="s">
        <v>242</v>
      </c>
      <c r="I186" s="5" t="s">
        <v>1346</v>
      </c>
      <c r="J186" s="5" t="n">
        <v>2023</v>
      </c>
      <c r="K186" s="5" t="s">
        <v>1347</v>
      </c>
      <c r="L186" s="5" t="s">
        <v>245</v>
      </c>
      <c r="M186" s="5"/>
      <c r="N186" s="5" t="s">
        <v>477</v>
      </c>
    </row>
    <row r="187" customFormat="false" ht="202.95" hidden="false" customHeight="false" outlineLevel="0" collapsed="false">
      <c r="A187" s="5" t="s">
        <v>2284</v>
      </c>
      <c r="B187" s="5" t="s">
        <v>42</v>
      </c>
      <c r="C187" s="5" t="s">
        <v>69</v>
      </c>
      <c r="D187" s="16" t="n">
        <v>46265</v>
      </c>
      <c r="E187" s="5" t="s">
        <v>1265</v>
      </c>
      <c r="F187" s="5" t="n">
        <v>4</v>
      </c>
      <c r="G187" s="5" t="s">
        <v>385</v>
      </c>
      <c r="H187" s="5" t="s">
        <v>1260</v>
      </c>
      <c r="I187" s="5" t="s">
        <v>1261</v>
      </c>
      <c r="J187" s="5" t="n">
        <v>2026</v>
      </c>
      <c r="K187" s="5" t="s">
        <v>233</v>
      </c>
      <c r="L187" s="5" t="s">
        <v>1262</v>
      </c>
      <c r="M187" s="5"/>
      <c r="N187" s="5" t="s">
        <v>1266</v>
      </c>
    </row>
    <row r="188" customFormat="false" ht="149.25" hidden="false" customHeight="false" outlineLevel="0" collapsed="false">
      <c r="A188" s="5" t="s">
        <v>2285</v>
      </c>
      <c r="B188" s="5" t="s">
        <v>42</v>
      </c>
      <c r="C188" s="5" t="s">
        <v>69</v>
      </c>
      <c r="D188" s="16" t="n">
        <v>46265</v>
      </c>
      <c r="E188" s="5" t="s">
        <v>1265</v>
      </c>
      <c r="F188" s="5" t="n">
        <v>5</v>
      </c>
      <c r="G188" s="5" t="s">
        <v>385</v>
      </c>
      <c r="H188" s="5" t="s">
        <v>1536</v>
      </c>
      <c r="I188" s="5" t="s">
        <v>1537</v>
      </c>
      <c r="J188" s="5" t="n">
        <v>2022</v>
      </c>
      <c r="K188" s="5" t="s">
        <v>703</v>
      </c>
      <c r="L188" s="5" t="s">
        <v>1538</v>
      </c>
      <c r="M188" s="5"/>
      <c r="N188" s="5" t="s">
        <v>1541</v>
      </c>
    </row>
    <row r="189" customFormat="false" ht="297" hidden="false" customHeight="false" outlineLevel="0" collapsed="false">
      <c r="A189" s="5" t="s">
        <v>2286</v>
      </c>
      <c r="B189" s="5" t="s">
        <v>42</v>
      </c>
      <c r="C189" s="5" t="s">
        <v>69</v>
      </c>
      <c r="D189" s="16" t="n">
        <v>46265</v>
      </c>
      <c r="E189" s="5" t="s">
        <v>1265</v>
      </c>
      <c r="F189" s="5" t="n">
        <v>6</v>
      </c>
      <c r="G189" s="5" t="s">
        <v>385</v>
      </c>
      <c r="H189" s="5" t="s">
        <v>645</v>
      </c>
      <c r="I189" s="5" t="s">
        <v>1449</v>
      </c>
      <c r="J189" s="5" t="n">
        <v>2025</v>
      </c>
      <c r="K189" s="5" t="s">
        <v>459</v>
      </c>
      <c r="L189" s="5" t="s">
        <v>647</v>
      </c>
      <c r="M189" s="5"/>
      <c r="N189" s="5" t="s">
        <v>1450</v>
      </c>
    </row>
    <row r="190" customFormat="false" ht="270.1" hidden="false" customHeight="false" outlineLevel="0" collapsed="false">
      <c r="A190" s="5" t="s">
        <v>2287</v>
      </c>
      <c r="B190" s="5" t="s">
        <v>42</v>
      </c>
      <c r="C190" s="5" t="s">
        <v>69</v>
      </c>
      <c r="D190" s="16" t="n">
        <v>46265</v>
      </c>
      <c r="E190" s="5" t="s">
        <v>1265</v>
      </c>
      <c r="F190" s="5" t="n">
        <v>7</v>
      </c>
      <c r="G190" s="5" t="s">
        <v>385</v>
      </c>
      <c r="H190" s="5" t="s">
        <v>1570</v>
      </c>
      <c r="I190" s="5" t="s">
        <v>1571</v>
      </c>
      <c r="J190" s="5" t="n">
        <v>2025</v>
      </c>
      <c r="K190" s="5" t="s">
        <v>233</v>
      </c>
      <c r="L190" s="5" t="s">
        <v>1572</v>
      </c>
      <c r="M190" s="5"/>
      <c r="N190" s="5" t="s">
        <v>1573</v>
      </c>
    </row>
    <row r="191" customFormat="false" ht="216.4" hidden="false" customHeight="false" outlineLevel="0" collapsed="false">
      <c r="A191" s="5" t="s">
        <v>2288</v>
      </c>
      <c r="B191" s="5" t="s">
        <v>42</v>
      </c>
      <c r="C191" s="5" t="s">
        <v>69</v>
      </c>
      <c r="D191" s="16" t="n">
        <v>46265</v>
      </c>
      <c r="E191" s="5" t="s">
        <v>1265</v>
      </c>
      <c r="F191" s="5" t="n">
        <v>8</v>
      </c>
      <c r="G191" s="5" t="s">
        <v>385</v>
      </c>
      <c r="H191" s="5" t="s">
        <v>1631</v>
      </c>
      <c r="I191" s="5" t="s">
        <v>1632</v>
      </c>
      <c r="J191" s="5" t="n">
        <v>2024</v>
      </c>
      <c r="K191" s="5" t="s">
        <v>1633</v>
      </c>
      <c r="L191" s="5" t="s">
        <v>1634</v>
      </c>
      <c r="M191" s="5"/>
      <c r="N191" s="5" t="s">
        <v>1635</v>
      </c>
    </row>
    <row r="192" customFormat="false" ht="229.85" hidden="false" customHeight="false" outlineLevel="0" collapsed="false">
      <c r="A192" s="5" t="s">
        <v>2289</v>
      </c>
      <c r="B192" s="5" t="s">
        <v>42</v>
      </c>
      <c r="C192" s="5" t="s">
        <v>69</v>
      </c>
      <c r="D192" s="16" t="n">
        <v>46265</v>
      </c>
      <c r="E192" s="5" t="s">
        <v>1265</v>
      </c>
      <c r="F192" s="5" t="n">
        <v>9</v>
      </c>
      <c r="G192" s="5" t="s">
        <v>385</v>
      </c>
      <c r="H192" s="5" t="s">
        <v>207</v>
      </c>
      <c r="I192" s="5" t="s">
        <v>208</v>
      </c>
      <c r="J192" s="5" t="n">
        <v>2021</v>
      </c>
      <c r="K192" s="5" t="s">
        <v>209</v>
      </c>
      <c r="L192" s="5" t="s">
        <v>210</v>
      </c>
      <c r="M192" s="5"/>
      <c r="N192" s="5" t="s">
        <v>1314</v>
      </c>
    </row>
    <row r="193" customFormat="false" ht="256.7" hidden="false" customHeight="false" outlineLevel="0" collapsed="false">
      <c r="A193" s="5" t="s">
        <v>2290</v>
      </c>
      <c r="B193" s="5" t="s">
        <v>42</v>
      </c>
      <c r="C193" s="5" t="s">
        <v>69</v>
      </c>
      <c r="D193" s="16" t="n">
        <v>46265</v>
      </c>
      <c r="E193" s="5" t="s">
        <v>1265</v>
      </c>
      <c r="F193" s="5" t="n">
        <v>10</v>
      </c>
      <c r="G193" s="5" t="s">
        <v>385</v>
      </c>
      <c r="H193" s="5" t="s">
        <v>252</v>
      </c>
      <c r="I193" s="5" t="s">
        <v>253</v>
      </c>
      <c r="J193" s="5" t="n">
        <v>2024</v>
      </c>
      <c r="K193" s="5" t="s">
        <v>254</v>
      </c>
      <c r="L193" s="5" t="s">
        <v>255</v>
      </c>
      <c r="M193" s="5"/>
      <c r="N193" s="5" t="s">
        <v>1417</v>
      </c>
    </row>
    <row r="194" customFormat="false" ht="202.95" hidden="false" customHeight="false" outlineLevel="0" collapsed="false">
      <c r="A194" s="5" t="s">
        <v>2291</v>
      </c>
      <c r="B194" s="5" t="s">
        <v>42</v>
      </c>
      <c r="C194" s="5" t="s">
        <v>69</v>
      </c>
      <c r="D194" s="16" t="n">
        <v>46265</v>
      </c>
      <c r="E194" s="5" t="s">
        <v>1265</v>
      </c>
      <c r="F194" s="5" t="n">
        <v>11</v>
      </c>
      <c r="G194" s="5" t="s">
        <v>385</v>
      </c>
      <c r="H194" s="5" t="s">
        <v>1565</v>
      </c>
      <c r="I194" s="5" t="s">
        <v>1566</v>
      </c>
      <c r="J194" s="5" t="n">
        <v>2026</v>
      </c>
      <c r="K194" s="5" t="s">
        <v>459</v>
      </c>
      <c r="L194" s="5" t="s">
        <v>1567</v>
      </c>
      <c r="M194" s="5"/>
      <c r="N194" s="5" t="s">
        <v>1568</v>
      </c>
    </row>
    <row r="195" customFormat="false" ht="122.35" hidden="false" customHeight="false" outlineLevel="0" collapsed="false">
      <c r="A195" s="5" t="s">
        <v>2292</v>
      </c>
      <c r="B195" s="5" t="s">
        <v>42</v>
      </c>
      <c r="C195" s="5" t="s">
        <v>69</v>
      </c>
      <c r="D195" s="16" t="n">
        <v>46265</v>
      </c>
      <c r="E195" s="5" t="s">
        <v>1265</v>
      </c>
      <c r="F195" s="5" t="n">
        <v>12</v>
      </c>
      <c r="G195" s="5" t="s">
        <v>385</v>
      </c>
      <c r="H195" s="5" t="s">
        <v>1640</v>
      </c>
      <c r="I195" s="5" t="s">
        <v>1641</v>
      </c>
      <c r="J195" s="5" t="n">
        <v>2018</v>
      </c>
      <c r="K195" s="5" t="s">
        <v>748</v>
      </c>
      <c r="L195" s="5" t="s">
        <v>1169</v>
      </c>
      <c r="M195" s="5"/>
      <c r="N195" s="5" t="s">
        <v>1642</v>
      </c>
    </row>
    <row r="196" customFormat="false" ht="149.25" hidden="false" customHeight="false" outlineLevel="0" collapsed="false">
      <c r="A196" s="5" t="s">
        <v>2293</v>
      </c>
      <c r="B196" s="5" t="s">
        <v>42</v>
      </c>
      <c r="C196" s="5" t="s">
        <v>69</v>
      </c>
      <c r="D196" s="16" t="n">
        <v>46265</v>
      </c>
      <c r="E196" s="5" t="s">
        <v>1265</v>
      </c>
      <c r="F196" s="5" t="n">
        <v>13</v>
      </c>
      <c r="G196" s="5" t="s">
        <v>385</v>
      </c>
      <c r="H196" s="5" t="s">
        <v>1464</v>
      </c>
      <c r="I196" s="5" t="s">
        <v>1465</v>
      </c>
      <c r="J196" s="5" t="n">
        <v>2021</v>
      </c>
      <c r="K196" s="5" t="s">
        <v>209</v>
      </c>
      <c r="L196" s="5" t="s">
        <v>1466</v>
      </c>
      <c r="M196" s="5"/>
      <c r="N196" s="5" t="s">
        <v>1467</v>
      </c>
    </row>
    <row r="197" customFormat="false" ht="149.25" hidden="false" customHeight="false" outlineLevel="0" collapsed="false">
      <c r="A197" s="5" t="s">
        <v>2294</v>
      </c>
      <c r="B197" s="5" t="s">
        <v>42</v>
      </c>
      <c r="C197" s="5" t="s">
        <v>69</v>
      </c>
      <c r="D197" s="16" t="n">
        <v>46265</v>
      </c>
      <c r="E197" s="5" t="s">
        <v>1265</v>
      </c>
      <c r="F197" s="5" t="n">
        <v>14</v>
      </c>
      <c r="G197" s="5" t="s">
        <v>385</v>
      </c>
      <c r="H197" s="5" t="s">
        <v>1661</v>
      </c>
      <c r="I197" s="5" t="s">
        <v>1662</v>
      </c>
      <c r="J197" s="5" t="n">
        <v>2025</v>
      </c>
      <c r="K197" s="5" t="s">
        <v>1663</v>
      </c>
      <c r="L197" s="5" t="s">
        <v>1664</v>
      </c>
      <c r="M197" s="5"/>
      <c r="N197" s="5" t="s">
        <v>1665</v>
      </c>
    </row>
    <row r="198" customFormat="false" ht="243.25" hidden="false" customHeight="false" outlineLevel="0" collapsed="false">
      <c r="A198" s="5" t="s">
        <v>2295</v>
      </c>
      <c r="B198" s="5" t="s">
        <v>42</v>
      </c>
      <c r="C198" s="5" t="s">
        <v>69</v>
      </c>
      <c r="D198" s="16" t="n">
        <v>46265</v>
      </c>
      <c r="E198" s="5" t="s">
        <v>1265</v>
      </c>
      <c r="F198" s="5" t="n">
        <v>15</v>
      </c>
      <c r="G198" s="5" t="s">
        <v>385</v>
      </c>
      <c r="H198" s="5" t="s">
        <v>1491</v>
      </c>
      <c r="I198" s="5" t="s">
        <v>1492</v>
      </c>
      <c r="J198" s="5" t="n">
        <v>2026</v>
      </c>
      <c r="K198" s="5" t="s">
        <v>1493</v>
      </c>
      <c r="L198" s="5" t="s">
        <v>1494</v>
      </c>
      <c r="M198" s="5"/>
      <c r="N198" s="5" t="s">
        <v>1495</v>
      </c>
    </row>
    <row r="199" customFormat="false" ht="243.25" hidden="false" customHeight="false" outlineLevel="0" collapsed="false">
      <c r="A199" s="5" t="s">
        <v>2296</v>
      </c>
      <c r="B199" s="5" t="s">
        <v>42</v>
      </c>
      <c r="C199" s="5" t="s">
        <v>69</v>
      </c>
      <c r="D199" s="16" t="n">
        <v>46265</v>
      </c>
      <c r="E199" s="5" t="s">
        <v>1265</v>
      </c>
      <c r="F199" s="5" t="n">
        <v>16</v>
      </c>
      <c r="G199" s="5" t="s">
        <v>385</v>
      </c>
      <c r="H199" s="5" t="s">
        <v>609</v>
      </c>
      <c r="I199" s="5" t="s">
        <v>610</v>
      </c>
      <c r="J199" s="5" t="n">
        <v>2023</v>
      </c>
      <c r="K199" s="5" t="s">
        <v>233</v>
      </c>
      <c r="L199" s="5" t="s">
        <v>611</v>
      </c>
      <c r="M199" s="5"/>
      <c r="N199" s="5" t="s">
        <v>1424</v>
      </c>
    </row>
    <row r="200" customFormat="false" ht="189.55" hidden="false" customHeight="false" outlineLevel="0" collapsed="false">
      <c r="A200" s="5" t="s">
        <v>2297</v>
      </c>
      <c r="B200" s="5" t="s">
        <v>42</v>
      </c>
      <c r="C200" s="5" t="s">
        <v>69</v>
      </c>
      <c r="D200" s="16" t="n">
        <v>46265</v>
      </c>
      <c r="E200" s="5" t="s">
        <v>1265</v>
      </c>
      <c r="F200" s="5" t="n">
        <v>17</v>
      </c>
      <c r="G200" s="5" t="s">
        <v>385</v>
      </c>
      <c r="H200" s="5" t="s">
        <v>1356</v>
      </c>
      <c r="I200" s="5" t="s">
        <v>1357</v>
      </c>
      <c r="J200" s="5" t="n">
        <v>2022</v>
      </c>
      <c r="K200" s="5" t="s">
        <v>233</v>
      </c>
      <c r="L200" s="5" t="s">
        <v>1358</v>
      </c>
      <c r="M200" s="5"/>
      <c r="N200" s="5" t="s">
        <v>1359</v>
      </c>
    </row>
    <row r="201" customFormat="false" ht="176.1" hidden="false" customHeight="false" outlineLevel="0" collapsed="false">
      <c r="A201" s="5" t="s">
        <v>2298</v>
      </c>
      <c r="B201" s="5" t="s">
        <v>42</v>
      </c>
      <c r="C201" s="5" t="s">
        <v>69</v>
      </c>
      <c r="D201" s="16" t="n">
        <v>46265</v>
      </c>
      <c r="E201" s="5" t="s">
        <v>1265</v>
      </c>
      <c r="F201" s="5" t="n">
        <v>18</v>
      </c>
      <c r="G201" s="5" t="s">
        <v>385</v>
      </c>
      <c r="H201" s="5" t="s">
        <v>257</v>
      </c>
      <c r="I201" s="5" t="s">
        <v>1426</v>
      </c>
      <c r="J201" s="5" t="n">
        <v>2024</v>
      </c>
      <c r="K201" s="5" t="s">
        <v>233</v>
      </c>
      <c r="L201" s="5" t="s">
        <v>259</v>
      </c>
      <c r="M201" s="5"/>
      <c r="N201" s="5" t="s">
        <v>1429</v>
      </c>
    </row>
    <row r="202" customFormat="false" ht="189.55" hidden="false" customHeight="false" outlineLevel="0" collapsed="false">
      <c r="A202" s="5" t="s">
        <v>2299</v>
      </c>
      <c r="B202" s="5" t="s">
        <v>42</v>
      </c>
      <c r="C202" s="5" t="s">
        <v>69</v>
      </c>
      <c r="D202" s="16" t="n">
        <v>46265</v>
      </c>
      <c r="E202" s="5" t="s">
        <v>1265</v>
      </c>
      <c r="F202" s="5" t="n">
        <v>19</v>
      </c>
      <c r="G202" s="5" t="s">
        <v>385</v>
      </c>
      <c r="H202" s="5" t="s">
        <v>1531</v>
      </c>
      <c r="I202" s="5" t="s">
        <v>1532</v>
      </c>
      <c r="J202" s="5" t="n">
        <v>2026</v>
      </c>
      <c r="K202" s="5" t="s">
        <v>233</v>
      </c>
      <c r="L202" s="5" t="s">
        <v>1533</v>
      </c>
      <c r="M202" s="5"/>
      <c r="N202" s="5" t="s">
        <v>1534</v>
      </c>
    </row>
    <row r="203" customFormat="false" ht="270.1" hidden="false" customHeight="false" outlineLevel="0" collapsed="false">
      <c r="A203" s="5" t="s">
        <v>2300</v>
      </c>
      <c r="B203" s="5" t="s">
        <v>42</v>
      </c>
      <c r="C203" s="5" t="s">
        <v>69</v>
      </c>
      <c r="D203" s="16" t="n">
        <v>46265</v>
      </c>
      <c r="E203" s="5" t="s">
        <v>1265</v>
      </c>
      <c r="F203" s="5" t="n">
        <v>20</v>
      </c>
      <c r="G203" s="5" t="s">
        <v>385</v>
      </c>
      <c r="H203" s="5" t="s">
        <v>1383</v>
      </c>
      <c r="I203" s="5" t="s">
        <v>1384</v>
      </c>
      <c r="J203" s="5" t="n">
        <v>2026</v>
      </c>
      <c r="K203" s="5" t="s">
        <v>523</v>
      </c>
      <c r="L203" s="5" t="s">
        <v>1385</v>
      </c>
      <c r="M203" s="5"/>
      <c r="N203" s="5" t="s">
        <v>1386</v>
      </c>
    </row>
    <row r="204" customFormat="false" ht="229.85" hidden="false" customHeight="false" outlineLevel="0" collapsed="false">
      <c r="A204" s="5" t="s">
        <v>2301</v>
      </c>
      <c r="B204" s="5" t="s">
        <v>42</v>
      </c>
      <c r="C204" s="5" t="s">
        <v>69</v>
      </c>
      <c r="D204" s="16" t="n">
        <v>46265</v>
      </c>
      <c r="E204" s="5" t="s">
        <v>1265</v>
      </c>
      <c r="F204" s="5" t="n">
        <v>21</v>
      </c>
      <c r="G204" s="5" t="s">
        <v>385</v>
      </c>
      <c r="H204" s="5" t="s">
        <v>1402</v>
      </c>
      <c r="I204" s="5" t="s">
        <v>1403</v>
      </c>
      <c r="J204" s="5" t="n">
        <v>2026</v>
      </c>
      <c r="K204" s="5" t="s">
        <v>1404</v>
      </c>
      <c r="L204" s="5" t="s">
        <v>1405</v>
      </c>
      <c r="M204" s="5"/>
      <c r="N204" s="5" t="s">
        <v>1406</v>
      </c>
    </row>
    <row r="205" customFormat="false" ht="216.4" hidden="false" customHeight="false" outlineLevel="0" collapsed="false">
      <c r="A205" s="5" t="s">
        <v>2302</v>
      </c>
      <c r="B205" s="5" t="s">
        <v>42</v>
      </c>
      <c r="C205" s="5" t="s">
        <v>69</v>
      </c>
      <c r="D205" s="16" t="n">
        <v>46265</v>
      </c>
      <c r="E205" s="5" t="s">
        <v>1265</v>
      </c>
      <c r="F205" s="5" t="n">
        <v>22</v>
      </c>
      <c r="G205" s="5" t="s">
        <v>385</v>
      </c>
      <c r="H205" s="5" t="s">
        <v>1373</v>
      </c>
      <c r="I205" s="5" t="s">
        <v>1374</v>
      </c>
      <c r="J205" s="5" t="n">
        <v>2021</v>
      </c>
      <c r="K205" s="5" t="s">
        <v>1181</v>
      </c>
      <c r="L205" s="5" t="s">
        <v>1375</v>
      </c>
      <c r="M205" s="5"/>
      <c r="N205" s="5" t="s">
        <v>1376</v>
      </c>
    </row>
    <row r="206" customFormat="false" ht="256.7" hidden="false" customHeight="false" outlineLevel="0" collapsed="false">
      <c r="A206" s="5" t="s">
        <v>2303</v>
      </c>
      <c r="B206" s="5" t="s">
        <v>42</v>
      </c>
      <c r="C206" s="5" t="s">
        <v>69</v>
      </c>
      <c r="D206" s="16" t="n">
        <v>46265</v>
      </c>
      <c r="E206" s="5" t="s">
        <v>1265</v>
      </c>
      <c r="F206" s="5" t="n">
        <v>23</v>
      </c>
      <c r="G206" s="5" t="s">
        <v>385</v>
      </c>
      <c r="H206" s="5" t="s">
        <v>1073</v>
      </c>
      <c r="I206" s="5" t="s">
        <v>1616</v>
      </c>
      <c r="J206" s="5" t="n">
        <v>2019</v>
      </c>
      <c r="K206" s="5" t="s">
        <v>1404</v>
      </c>
      <c r="L206" s="5" t="s">
        <v>1075</v>
      </c>
      <c r="M206" s="5"/>
      <c r="N206" s="5" t="s">
        <v>1076</v>
      </c>
    </row>
    <row r="207" customFormat="false" ht="176.1" hidden="false" customHeight="false" outlineLevel="0" collapsed="false">
      <c r="A207" s="5" t="s">
        <v>2304</v>
      </c>
      <c r="B207" s="5" t="s">
        <v>42</v>
      </c>
      <c r="C207" s="5" t="s">
        <v>69</v>
      </c>
      <c r="D207" s="16" t="n">
        <v>46265</v>
      </c>
      <c r="E207" s="5" t="s">
        <v>1265</v>
      </c>
      <c r="F207" s="5" t="n">
        <v>24</v>
      </c>
      <c r="G207" s="5" t="s">
        <v>385</v>
      </c>
      <c r="H207" s="5" t="s">
        <v>1503</v>
      </c>
      <c r="I207" s="5" t="s">
        <v>1504</v>
      </c>
      <c r="J207" s="5" t="n">
        <v>2025</v>
      </c>
      <c r="K207" s="5" t="s">
        <v>1505</v>
      </c>
      <c r="L207" s="5" t="s">
        <v>1506</v>
      </c>
      <c r="M207" s="5"/>
      <c r="N207" s="5" t="s">
        <v>1507</v>
      </c>
    </row>
    <row r="208" customFormat="false" ht="270.1" hidden="false" customHeight="false" outlineLevel="0" collapsed="false">
      <c r="A208" s="5" t="s">
        <v>2305</v>
      </c>
      <c r="B208" s="5" t="s">
        <v>42</v>
      </c>
      <c r="C208" s="5" t="s">
        <v>69</v>
      </c>
      <c r="D208" s="16" t="n">
        <v>46265</v>
      </c>
      <c r="E208" s="5" t="s">
        <v>1265</v>
      </c>
      <c r="F208" s="5" t="n">
        <v>25</v>
      </c>
      <c r="G208" s="5" t="s">
        <v>385</v>
      </c>
      <c r="H208" s="5" t="s">
        <v>548</v>
      </c>
      <c r="I208" s="5" t="s">
        <v>549</v>
      </c>
      <c r="J208" s="5" t="n">
        <v>2024</v>
      </c>
      <c r="K208" s="5" t="s">
        <v>254</v>
      </c>
      <c r="L208" s="5" t="s">
        <v>550</v>
      </c>
      <c r="M208" s="5"/>
      <c r="N208" s="5" t="s">
        <v>1390</v>
      </c>
    </row>
    <row r="209" customFormat="false" ht="270.1" hidden="false" customHeight="false" outlineLevel="0" collapsed="false">
      <c r="A209" s="5" t="s">
        <v>2306</v>
      </c>
      <c r="B209" s="5" t="s">
        <v>42</v>
      </c>
      <c r="C209" s="5" t="s">
        <v>69</v>
      </c>
      <c r="D209" s="16" t="n">
        <v>46265</v>
      </c>
      <c r="E209" s="5" t="s">
        <v>1265</v>
      </c>
      <c r="F209" s="5" t="n">
        <v>26</v>
      </c>
      <c r="G209" s="5" t="s">
        <v>385</v>
      </c>
      <c r="H209" s="5" t="s">
        <v>1269</v>
      </c>
      <c r="I209" s="5" t="s">
        <v>1270</v>
      </c>
      <c r="J209" s="5" t="n">
        <v>2026</v>
      </c>
      <c r="K209" s="5" t="s">
        <v>254</v>
      </c>
      <c r="L209" s="5" t="s">
        <v>1271</v>
      </c>
      <c r="M209" s="5"/>
      <c r="N209" s="5" t="s">
        <v>1273</v>
      </c>
    </row>
    <row r="210" customFormat="false" ht="176.1" hidden="false" customHeight="false" outlineLevel="0" collapsed="false">
      <c r="A210" s="5" t="s">
        <v>2307</v>
      </c>
      <c r="B210" s="5" t="s">
        <v>42</v>
      </c>
      <c r="C210" s="5" t="s">
        <v>69</v>
      </c>
      <c r="D210" s="16" t="n">
        <v>46265</v>
      </c>
      <c r="E210" s="5" t="s">
        <v>1265</v>
      </c>
      <c r="F210" s="5" t="n">
        <v>27</v>
      </c>
      <c r="G210" s="5" t="s">
        <v>385</v>
      </c>
      <c r="H210" s="5" t="s">
        <v>1516</v>
      </c>
      <c r="I210" s="5" t="s">
        <v>1517</v>
      </c>
      <c r="J210" s="5" t="n">
        <v>2025</v>
      </c>
      <c r="K210" s="5" t="s">
        <v>1518</v>
      </c>
      <c r="L210" s="5" t="s">
        <v>1519</v>
      </c>
      <c r="M210" s="5"/>
      <c r="N210" s="5" t="s">
        <v>1520</v>
      </c>
    </row>
    <row r="211" customFormat="false" ht="256.7" hidden="false" customHeight="false" outlineLevel="0" collapsed="false">
      <c r="A211" s="5" t="s">
        <v>2308</v>
      </c>
      <c r="B211" s="5" t="s">
        <v>42</v>
      </c>
      <c r="C211" s="5" t="s">
        <v>69</v>
      </c>
      <c r="D211" s="16" t="n">
        <v>46265</v>
      </c>
      <c r="E211" s="5" t="s">
        <v>1265</v>
      </c>
      <c r="F211" s="5" t="n">
        <v>28</v>
      </c>
      <c r="G211" s="5" t="s">
        <v>385</v>
      </c>
      <c r="H211" s="5" t="s">
        <v>1436</v>
      </c>
      <c r="I211" s="5" t="s">
        <v>1437</v>
      </c>
      <c r="J211" s="5" t="n">
        <v>2026</v>
      </c>
      <c r="K211" s="5" t="s">
        <v>233</v>
      </c>
      <c r="L211" s="5" t="s">
        <v>1438</v>
      </c>
      <c r="M211" s="5"/>
      <c r="N211" s="5" t="s">
        <v>1439</v>
      </c>
    </row>
    <row r="212" customFormat="false" ht="176.1" hidden="false" customHeight="false" outlineLevel="0" collapsed="false">
      <c r="A212" s="5" t="s">
        <v>2309</v>
      </c>
      <c r="B212" s="5" t="s">
        <v>42</v>
      </c>
      <c r="C212" s="5" t="s">
        <v>69</v>
      </c>
      <c r="D212" s="16" t="n">
        <v>46265</v>
      </c>
      <c r="E212" s="5" t="s">
        <v>1265</v>
      </c>
      <c r="F212" s="5" t="n">
        <v>29</v>
      </c>
      <c r="G212" s="5" t="s">
        <v>385</v>
      </c>
      <c r="H212" s="5" t="s">
        <v>1559</v>
      </c>
      <c r="I212" s="5" t="s">
        <v>1560</v>
      </c>
      <c r="J212" s="5" t="n">
        <v>2022</v>
      </c>
      <c r="K212" s="5" t="s">
        <v>1561</v>
      </c>
      <c r="L212" s="5" t="s">
        <v>1562</v>
      </c>
      <c r="M212" s="5"/>
      <c r="N212" s="5" t="s">
        <v>1563</v>
      </c>
    </row>
    <row r="213" customFormat="false" ht="243.25" hidden="false" customHeight="false" outlineLevel="0" collapsed="false">
      <c r="A213" s="5" t="s">
        <v>2310</v>
      </c>
      <c r="B213" s="5" t="s">
        <v>42</v>
      </c>
      <c r="C213" s="5" t="s">
        <v>69</v>
      </c>
      <c r="D213" s="16" t="n">
        <v>46265</v>
      </c>
      <c r="E213" s="5" t="s">
        <v>1265</v>
      </c>
      <c r="F213" s="5" t="n">
        <v>30</v>
      </c>
      <c r="G213" s="5" t="s">
        <v>385</v>
      </c>
      <c r="H213" s="5" t="s">
        <v>1223</v>
      </c>
      <c r="I213" s="5" t="s">
        <v>1672</v>
      </c>
      <c r="J213" s="5" t="n">
        <v>2022</v>
      </c>
      <c r="K213" s="5" t="s">
        <v>1225</v>
      </c>
      <c r="L213" s="5" t="s">
        <v>1226</v>
      </c>
      <c r="M213" s="5"/>
      <c r="N213" s="5" t="s">
        <v>1673</v>
      </c>
    </row>
    <row r="214" customFormat="false" ht="283.55" hidden="false" customHeight="false" outlineLevel="0" collapsed="false">
      <c r="A214" s="5" t="s">
        <v>2311</v>
      </c>
      <c r="B214" s="5" t="s">
        <v>42</v>
      </c>
      <c r="C214" s="5" t="s">
        <v>69</v>
      </c>
      <c r="D214" s="16" t="n">
        <v>46265</v>
      </c>
      <c r="E214" s="5" t="s">
        <v>1265</v>
      </c>
      <c r="F214" s="5" t="n">
        <v>31</v>
      </c>
      <c r="G214" s="5" t="s">
        <v>385</v>
      </c>
      <c r="H214" s="5" t="s">
        <v>1392</v>
      </c>
      <c r="I214" s="5" t="s">
        <v>1393</v>
      </c>
      <c r="J214" s="5" t="n">
        <v>2026</v>
      </c>
      <c r="K214" s="5" t="s">
        <v>233</v>
      </c>
      <c r="L214" s="5" t="s">
        <v>1394</v>
      </c>
      <c r="M214" s="5"/>
      <c r="N214" s="5" t="s">
        <v>1395</v>
      </c>
    </row>
    <row r="215" customFormat="false" ht="149.25" hidden="false" customHeight="false" outlineLevel="0" collapsed="false">
      <c r="A215" s="5" t="s">
        <v>2312</v>
      </c>
      <c r="B215" s="5" t="s">
        <v>42</v>
      </c>
      <c r="C215" s="5" t="s">
        <v>69</v>
      </c>
      <c r="D215" s="16" t="n">
        <v>46265</v>
      </c>
      <c r="E215" s="5" t="s">
        <v>1265</v>
      </c>
      <c r="F215" s="5" t="n">
        <v>32</v>
      </c>
      <c r="G215" s="5" t="s">
        <v>385</v>
      </c>
      <c r="H215" s="5" t="s">
        <v>1623</v>
      </c>
      <c r="I215" s="5" t="s">
        <v>1624</v>
      </c>
      <c r="J215" s="5" t="n">
        <v>2023</v>
      </c>
      <c r="K215" s="5" t="s">
        <v>1404</v>
      </c>
      <c r="L215" s="5" t="s">
        <v>1625</v>
      </c>
      <c r="M215" s="5"/>
      <c r="N215" s="5" t="s">
        <v>1626</v>
      </c>
    </row>
    <row r="216" customFormat="false" ht="162.65" hidden="false" customHeight="false" outlineLevel="0" collapsed="false">
      <c r="A216" s="5" t="s">
        <v>2313</v>
      </c>
      <c r="B216" s="5" t="s">
        <v>42</v>
      </c>
      <c r="C216" s="5" t="s">
        <v>69</v>
      </c>
      <c r="D216" s="16" t="n">
        <v>46265</v>
      </c>
      <c r="E216" s="5" t="s">
        <v>1265</v>
      </c>
      <c r="F216" s="5" t="n">
        <v>33</v>
      </c>
      <c r="G216" s="5" t="s">
        <v>385</v>
      </c>
      <c r="H216" s="5" t="s">
        <v>1485</v>
      </c>
      <c r="I216" s="5" t="s">
        <v>1486</v>
      </c>
      <c r="J216" s="5" t="n">
        <v>2023</v>
      </c>
      <c r="K216" s="5" t="s">
        <v>233</v>
      </c>
      <c r="L216" s="5" t="s">
        <v>1487</v>
      </c>
      <c r="M216" s="5"/>
      <c r="N216" s="5" t="s">
        <v>1488</v>
      </c>
    </row>
    <row r="217" customFormat="false" ht="229.85" hidden="false" customHeight="false" outlineLevel="0" collapsed="false">
      <c r="A217" s="5" t="s">
        <v>2314</v>
      </c>
      <c r="B217" s="5" t="s">
        <v>42</v>
      </c>
      <c r="C217" s="5" t="s">
        <v>69</v>
      </c>
      <c r="D217" s="16" t="n">
        <v>46265</v>
      </c>
      <c r="E217" s="5" t="s">
        <v>1265</v>
      </c>
      <c r="F217" s="5" t="n">
        <v>34</v>
      </c>
      <c r="G217" s="5" t="s">
        <v>385</v>
      </c>
      <c r="H217" s="5" t="s">
        <v>578</v>
      </c>
      <c r="I217" s="5" t="s">
        <v>579</v>
      </c>
      <c r="J217" s="5" t="n">
        <v>2024</v>
      </c>
      <c r="K217" s="5" t="s">
        <v>580</v>
      </c>
      <c r="L217" s="5" t="s">
        <v>581</v>
      </c>
      <c r="M217" s="5"/>
      <c r="N217" s="5" t="s">
        <v>1408</v>
      </c>
    </row>
    <row r="218" customFormat="false" ht="189.55" hidden="false" customHeight="false" outlineLevel="0" collapsed="false">
      <c r="A218" s="5" t="s">
        <v>2315</v>
      </c>
      <c r="B218" s="5" t="s">
        <v>42</v>
      </c>
      <c r="C218" s="5" t="s">
        <v>69</v>
      </c>
      <c r="D218" s="16" t="n">
        <v>46265</v>
      </c>
      <c r="E218" s="5" t="s">
        <v>1265</v>
      </c>
      <c r="F218" s="5" t="n">
        <v>35</v>
      </c>
      <c r="G218" s="5" t="s">
        <v>385</v>
      </c>
      <c r="H218" s="5" t="s">
        <v>1162</v>
      </c>
      <c r="I218" s="5" t="s">
        <v>1637</v>
      </c>
      <c r="J218" s="5" t="n">
        <v>2025</v>
      </c>
      <c r="K218" s="5" t="s">
        <v>1638</v>
      </c>
      <c r="L218" s="5" t="s">
        <v>1164</v>
      </c>
      <c r="M218" s="5"/>
      <c r="N218" s="5" t="s">
        <v>1165</v>
      </c>
    </row>
    <row r="219" customFormat="false" ht="270.1" hidden="false" customHeight="false" outlineLevel="0" collapsed="false">
      <c r="A219" s="5" t="s">
        <v>2316</v>
      </c>
      <c r="B219" s="5" t="s">
        <v>42</v>
      </c>
      <c r="C219" s="5" t="s">
        <v>69</v>
      </c>
      <c r="D219" s="16" t="n">
        <v>46265</v>
      </c>
      <c r="E219" s="5" t="s">
        <v>1265</v>
      </c>
      <c r="F219" s="5" t="n">
        <v>36</v>
      </c>
      <c r="G219" s="5" t="s">
        <v>385</v>
      </c>
      <c r="H219" s="5" t="s">
        <v>1339</v>
      </c>
      <c r="I219" s="5" t="s">
        <v>1340</v>
      </c>
      <c r="J219" s="5" t="n">
        <v>2022</v>
      </c>
      <c r="K219" s="5" t="s">
        <v>233</v>
      </c>
      <c r="L219" s="5" t="s">
        <v>215</v>
      </c>
      <c r="M219" s="5"/>
      <c r="N219" s="5" t="s">
        <v>1344</v>
      </c>
    </row>
    <row r="220" customFormat="false" ht="189.55" hidden="false" customHeight="false" outlineLevel="0" collapsed="false">
      <c r="A220" s="5" t="s">
        <v>2317</v>
      </c>
      <c r="B220" s="5" t="s">
        <v>42</v>
      </c>
      <c r="C220" s="5" t="s">
        <v>69</v>
      </c>
      <c r="D220" s="16" t="n">
        <v>46265</v>
      </c>
      <c r="E220" s="5" t="s">
        <v>1265</v>
      </c>
      <c r="F220" s="5" t="n">
        <v>37</v>
      </c>
      <c r="G220" s="5" t="s">
        <v>385</v>
      </c>
      <c r="H220" s="5" t="s">
        <v>479</v>
      </c>
      <c r="I220" s="5" t="s">
        <v>1349</v>
      </c>
      <c r="J220" s="5" t="n">
        <v>2019</v>
      </c>
      <c r="K220" s="5" t="s">
        <v>1347</v>
      </c>
      <c r="L220" s="5" t="s">
        <v>481</v>
      </c>
      <c r="M220" s="5"/>
      <c r="N220" s="5" t="s">
        <v>483</v>
      </c>
    </row>
    <row r="221" customFormat="false" ht="229.85" hidden="false" customHeight="false" outlineLevel="0" collapsed="false">
      <c r="A221" s="5" t="s">
        <v>2318</v>
      </c>
      <c r="B221" s="5" t="s">
        <v>42</v>
      </c>
      <c r="C221" s="5" t="s">
        <v>69</v>
      </c>
      <c r="D221" s="16" t="n">
        <v>46265</v>
      </c>
      <c r="E221" s="5" t="s">
        <v>1265</v>
      </c>
      <c r="F221" s="5" t="n">
        <v>38</v>
      </c>
      <c r="G221" s="5" t="s">
        <v>385</v>
      </c>
      <c r="H221" s="5" t="s">
        <v>1575</v>
      </c>
      <c r="I221" s="5" t="s">
        <v>1576</v>
      </c>
      <c r="J221" s="5" t="n">
        <v>2026</v>
      </c>
      <c r="K221" s="5" t="s">
        <v>523</v>
      </c>
      <c r="L221" s="5" t="s">
        <v>1577</v>
      </c>
      <c r="M221" s="5"/>
      <c r="N221" s="5" t="s">
        <v>1578</v>
      </c>
    </row>
    <row r="222" customFormat="false" ht="189.55" hidden="false" customHeight="false" outlineLevel="0" collapsed="false">
      <c r="A222" s="5" t="s">
        <v>2319</v>
      </c>
      <c r="B222" s="5" t="s">
        <v>42</v>
      </c>
      <c r="C222" s="5" t="s">
        <v>69</v>
      </c>
      <c r="D222" s="16" t="n">
        <v>46265</v>
      </c>
      <c r="E222" s="5" t="s">
        <v>1265</v>
      </c>
      <c r="F222" s="5" t="n">
        <v>39</v>
      </c>
      <c r="G222" s="5" t="s">
        <v>385</v>
      </c>
      <c r="H222" s="5" t="s">
        <v>1123</v>
      </c>
      <c r="I222" s="5" t="s">
        <v>1628</v>
      </c>
      <c r="J222" s="5" t="n">
        <v>2020</v>
      </c>
      <c r="K222" s="5" t="s">
        <v>703</v>
      </c>
      <c r="L222" s="5" t="s">
        <v>1125</v>
      </c>
      <c r="M222" s="5"/>
      <c r="N222" s="5" t="s">
        <v>1126</v>
      </c>
    </row>
    <row r="223" customFormat="false" ht="256.7" hidden="false" customHeight="false" outlineLevel="0" collapsed="false">
      <c r="A223" s="5" t="s">
        <v>2320</v>
      </c>
      <c r="B223" s="5" t="s">
        <v>42</v>
      </c>
      <c r="C223" s="5" t="s">
        <v>69</v>
      </c>
      <c r="D223" s="16" t="n">
        <v>46265</v>
      </c>
      <c r="E223" s="5" t="s">
        <v>1265</v>
      </c>
      <c r="F223" s="5" t="n">
        <v>40</v>
      </c>
      <c r="G223" s="5" t="s">
        <v>385</v>
      </c>
      <c r="H223" s="5" t="s">
        <v>1589</v>
      </c>
      <c r="I223" s="5" t="s">
        <v>1590</v>
      </c>
      <c r="J223" s="5" t="n">
        <v>2025</v>
      </c>
      <c r="K223" s="5" t="s">
        <v>233</v>
      </c>
      <c r="L223" s="5" t="s">
        <v>1591</v>
      </c>
      <c r="M223" s="5"/>
      <c r="N223" s="5" t="s">
        <v>1592</v>
      </c>
    </row>
    <row r="224" customFormat="false" ht="216.4" hidden="false" customHeight="false" outlineLevel="0" collapsed="false">
      <c r="A224" s="5" t="s">
        <v>2321</v>
      </c>
      <c r="B224" s="5" t="s">
        <v>42</v>
      </c>
      <c r="C224" s="5" t="s">
        <v>69</v>
      </c>
      <c r="D224" s="16" t="n">
        <v>46265</v>
      </c>
      <c r="E224" s="5" t="s">
        <v>1265</v>
      </c>
      <c r="F224" s="5" t="n">
        <v>41</v>
      </c>
      <c r="G224" s="5" t="s">
        <v>385</v>
      </c>
      <c r="H224" s="5" t="s">
        <v>1297</v>
      </c>
      <c r="I224" s="5" t="s">
        <v>1298</v>
      </c>
      <c r="J224" s="5" t="n">
        <v>2025</v>
      </c>
      <c r="K224" s="5" t="s">
        <v>1299</v>
      </c>
      <c r="L224" s="5" t="s">
        <v>1300</v>
      </c>
      <c r="M224" s="5"/>
      <c r="N224" s="5" t="s">
        <v>1301</v>
      </c>
    </row>
    <row r="225" customFormat="false" ht="243.25" hidden="false" customHeight="false" outlineLevel="0" collapsed="false">
      <c r="A225" s="5" t="s">
        <v>2322</v>
      </c>
      <c r="B225" s="5" t="s">
        <v>42</v>
      </c>
      <c r="C225" s="5" t="s">
        <v>69</v>
      </c>
      <c r="D225" s="16" t="n">
        <v>46265</v>
      </c>
      <c r="E225" s="5" t="s">
        <v>1265</v>
      </c>
      <c r="F225" s="5" t="n">
        <v>42</v>
      </c>
      <c r="G225" s="5" t="s">
        <v>385</v>
      </c>
      <c r="H225" s="5" t="s">
        <v>274</v>
      </c>
      <c r="I225" s="5" t="s">
        <v>1580</v>
      </c>
      <c r="J225" s="5" t="n">
        <v>2025</v>
      </c>
      <c r="K225" s="5" t="s">
        <v>459</v>
      </c>
      <c r="L225" s="5" t="s">
        <v>277</v>
      </c>
      <c r="M225" s="5"/>
      <c r="N225" s="5" t="s">
        <v>989</v>
      </c>
    </row>
    <row r="226" customFormat="false" ht="229.85" hidden="false" customHeight="false" outlineLevel="0" collapsed="false">
      <c r="A226" s="5" t="s">
        <v>2323</v>
      </c>
      <c r="B226" s="5" t="s">
        <v>42</v>
      </c>
      <c r="C226" s="5" t="s">
        <v>69</v>
      </c>
      <c r="D226" s="16" t="n">
        <v>46265</v>
      </c>
      <c r="E226" s="5" t="s">
        <v>1265</v>
      </c>
      <c r="F226" s="5" t="n">
        <v>43</v>
      </c>
      <c r="G226" s="5" t="s">
        <v>385</v>
      </c>
      <c r="H226" s="5" t="s">
        <v>283</v>
      </c>
      <c r="I226" s="5" t="s">
        <v>1618</v>
      </c>
      <c r="J226" s="5" t="n">
        <v>2025</v>
      </c>
      <c r="K226" s="5" t="s">
        <v>233</v>
      </c>
      <c r="L226" s="5" t="s">
        <v>285</v>
      </c>
      <c r="M226" s="5"/>
      <c r="N226" s="5" t="s">
        <v>1621</v>
      </c>
    </row>
    <row r="227" customFormat="false" ht="189.55" hidden="false" customHeight="false" outlineLevel="0" collapsed="false">
      <c r="A227" s="5" t="s">
        <v>2324</v>
      </c>
      <c r="B227" s="5" t="s">
        <v>42</v>
      </c>
      <c r="C227" s="5" t="s">
        <v>69</v>
      </c>
      <c r="D227" s="16" t="n">
        <v>46265</v>
      </c>
      <c r="E227" s="5" t="s">
        <v>1265</v>
      </c>
      <c r="F227" s="5" t="n">
        <v>44</v>
      </c>
      <c r="G227" s="5" t="s">
        <v>385</v>
      </c>
      <c r="H227" s="5" t="s">
        <v>1327</v>
      </c>
      <c r="I227" s="5" t="s">
        <v>1328</v>
      </c>
      <c r="J227" s="5" t="n">
        <v>2026</v>
      </c>
      <c r="K227" s="5" t="s">
        <v>626</v>
      </c>
      <c r="L227" s="5" t="s">
        <v>1329</v>
      </c>
      <c r="M227" s="5"/>
      <c r="N227" s="5" t="s">
        <v>1330</v>
      </c>
    </row>
    <row r="228" customFormat="false" ht="202.95" hidden="false" customHeight="false" outlineLevel="0" collapsed="false">
      <c r="A228" s="5" t="s">
        <v>2325</v>
      </c>
      <c r="B228" s="5" t="s">
        <v>42</v>
      </c>
      <c r="C228" s="5" t="s">
        <v>69</v>
      </c>
      <c r="D228" s="16" t="n">
        <v>46265</v>
      </c>
      <c r="E228" s="5" t="s">
        <v>1265</v>
      </c>
      <c r="F228" s="5" t="n">
        <v>45</v>
      </c>
      <c r="G228" s="5" t="s">
        <v>385</v>
      </c>
      <c r="H228" s="5" t="s">
        <v>714</v>
      </c>
      <c r="I228" s="5" t="s">
        <v>715</v>
      </c>
      <c r="J228" s="5" t="n">
        <v>2024</v>
      </c>
      <c r="K228" s="5" t="s">
        <v>716</v>
      </c>
      <c r="L228" s="5" t="s">
        <v>717</v>
      </c>
      <c r="M228" s="5"/>
      <c r="N228" s="5" t="s">
        <v>1476</v>
      </c>
    </row>
    <row r="229" customFormat="false" ht="229.85" hidden="false" customHeight="false" outlineLevel="0" collapsed="false">
      <c r="A229" s="5" t="s">
        <v>2326</v>
      </c>
      <c r="B229" s="5" t="s">
        <v>42</v>
      </c>
      <c r="C229" s="5" t="s">
        <v>69</v>
      </c>
      <c r="D229" s="16" t="n">
        <v>46265</v>
      </c>
      <c r="E229" s="5" t="s">
        <v>1265</v>
      </c>
      <c r="F229" s="5" t="n">
        <v>46</v>
      </c>
      <c r="G229" s="5" t="s">
        <v>385</v>
      </c>
      <c r="H229" s="5" t="s">
        <v>1667</v>
      </c>
      <c r="I229" s="5" t="s">
        <v>1668</v>
      </c>
      <c r="J229" s="5" t="n">
        <v>2026</v>
      </c>
      <c r="K229" s="5" t="s">
        <v>575</v>
      </c>
      <c r="L229" s="5" t="s">
        <v>1669</v>
      </c>
      <c r="M229" s="5"/>
      <c r="N229" s="5" t="s">
        <v>1670</v>
      </c>
    </row>
    <row r="230" customFormat="false" ht="202.95" hidden="false" customHeight="false" outlineLevel="0" collapsed="false">
      <c r="A230" s="5" t="s">
        <v>2327</v>
      </c>
      <c r="B230" s="5" t="s">
        <v>42</v>
      </c>
      <c r="C230" s="5" t="s">
        <v>69</v>
      </c>
      <c r="D230" s="16" t="n">
        <v>46265</v>
      </c>
      <c r="E230" s="5" t="s">
        <v>1265</v>
      </c>
      <c r="F230" s="5" t="n">
        <v>47</v>
      </c>
      <c r="G230" s="5" t="s">
        <v>385</v>
      </c>
      <c r="H230" s="5" t="s">
        <v>1452</v>
      </c>
      <c r="I230" s="5" t="s">
        <v>1453</v>
      </c>
      <c r="J230" s="5" t="n">
        <v>2025</v>
      </c>
      <c r="K230" s="5" t="s">
        <v>233</v>
      </c>
      <c r="L230" s="5" t="s">
        <v>1454</v>
      </c>
      <c r="M230" s="5"/>
      <c r="N230" s="5" t="s">
        <v>1455</v>
      </c>
    </row>
    <row r="231" customFormat="false" ht="202.95" hidden="false" customHeight="false" outlineLevel="0" collapsed="false">
      <c r="A231" s="5" t="s">
        <v>2328</v>
      </c>
      <c r="B231" s="5" t="s">
        <v>42</v>
      </c>
      <c r="C231" s="5" t="s">
        <v>69</v>
      </c>
      <c r="D231" s="16" t="n">
        <v>46265</v>
      </c>
      <c r="E231" s="5" t="s">
        <v>1265</v>
      </c>
      <c r="F231" s="5" t="n">
        <v>48</v>
      </c>
      <c r="G231" s="5" t="s">
        <v>385</v>
      </c>
      <c r="H231" s="5" t="s">
        <v>1351</v>
      </c>
      <c r="I231" s="5" t="s">
        <v>1352</v>
      </c>
      <c r="J231" s="5" t="n">
        <v>2025</v>
      </c>
      <c r="K231" s="5" t="s">
        <v>233</v>
      </c>
      <c r="L231" s="5" t="s">
        <v>1353</v>
      </c>
      <c r="M231" s="5"/>
      <c r="N231" s="5" t="s">
        <v>1354</v>
      </c>
    </row>
    <row r="232" customFormat="false" ht="176.1" hidden="false" customHeight="false" outlineLevel="0" collapsed="false">
      <c r="A232" s="5" t="s">
        <v>2329</v>
      </c>
      <c r="B232" s="5" t="s">
        <v>42</v>
      </c>
      <c r="C232" s="5" t="s">
        <v>69</v>
      </c>
      <c r="D232" s="16" t="n">
        <v>46265</v>
      </c>
      <c r="E232" s="5" t="s">
        <v>1265</v>
      </c>
      <c r="F232" s="5" t="n">
        <v>49</v>
      </c>
      <c r="G232" s="5" t="s">
        <v>385</v>
      </c>
      <c r="H232" s="5" t="s">
        <v>746</v>
      </c>
      <c r="I232" s="5" t="s">
        <v>747</v>
      </c>
      <c r="J232" s="5" t="n">
        <v>2021</v>
      </c>
      <c r="K232" s="5" t="s">
        <v>748</v>
      </c>
      <c r="L232" s="5" t="s">
        <v>749</v>
      </c>
      <c r="M232" s="5"/>
      <c r="N232" s="5" t="s">
        <v>1483</v>
      </c>
    </row>
    <row r="233" customFormat="false" ht="135.8" hidden="false" customHeight="false" outlineLevel="0" collapsed="false">
      <c r="A233" s="5" t="s">
        <v>2330</v>
      </c>
      <c r="B233" s="5" t="s">
        <v>42</v>
      </c>
      <c r="C233" s="5" t="s">
        <v>69</v>
      </c>
      <c r="D233" s="16" t="n">
        <v>46265</v>
      </c>
      <c r="E233" s="5" t="s">
        <v>1265</v>
      </c>
      <c r="F233" s="5" t="n">
        <v>50</v>
      </c>
      <c r="G233" s="5" t="s">
        <v>385</v>
      </c>
      <c r="H233" s="5" t="s">
        <v>1275</v>
      </c>
      <c r="I233" s="5" t="s">
        <v>1276</v>
      </c>
      <c r="J233" s="5" t="n">
        <v>2026</v>
      </c>
      <c r="K233" s="5" t="s">
        <v>254</v>
      </c>
      <c r="L233" s="5" t="s">
        <v>1277</v>
      </c>
      <c r="M233" s="5"/>
      <c r="N233" s="5" t="s">
        <v>1278</v>
      </c>
    </row>
    <row r="234" customFormat="false" ht="283.55" hidden="false" customHeight="false" outlineLevel="0" collapsed="false">
      <c r="A234" s="5" t="s">
        <v>2331</v>
      </c>
      <c r="B234" s="5" t="s">
        <v>42</v>
      </c>
      <c r="C234" s="5" t="s">
        <v>69</v>
      </c>
      <c r="D234" s="16" t="n">
        <v>46265</v>
      </c>
      <c r="E234" s="5" t="s">
        <v>1265</v>
      </c>
      <c r="F234" s="5" t="n">
        <v>51</v>
      </c>
      <c r="G234" s="5" t="s">
        <v>385</v>
      </c>
      <c r="H234" s="5" t="s">
        <v>1458</v>
      </c>
      <c r="I234" s="5" t="s">
        <v>1459</v>
      </c>
      <c r="J234" s="5" t="n">
        <v>2026</v>
      </c>
      <c r="K234" s="5" t="s">
        <v>1460</v>
      </c>
      <c r="L234" s="5" t="s">
        <v>1461</v>
      </c>
      <c r="M234" s="5"/>
      <c r="N234" s="5" t="s">
        <v>1462</v>
      </c>
    </row>
    <row r="235" customFormat="false" ht="176.1" hidden="false" customHeight="false" outlineLevel="0" collapsed="false">
      <c r="A235" s="5" t="s">
        <v>2332</v>
      </c>
      <c r="B235" s="5" t="s">
        <v>42</v>
      </c>
      <c r="C235" s="5" t="s">
        <v>69</v>
      </c>
      <c r="D235" s="16" t="n">
        <v>46265</v>
      </c>
      <c r="E235" s="5" t="s">
        <v>1265</v>
      </c>
      <c r="F235" s="5" t="n">
        <v>52</v>
      </c>
      <c r="G235" s="5" t="s">
        <v>385</v>
      </c>
      <c r="H235" s="5" t="s">
        <v>1419</v>
      </c>
      <c r="I235" s="5" t="s">
        <v>1420</v>
      </c>
      <c r="J235" s="5" t="n">
        <v>2023</v>
      </c>
      <c r="K235" s="5" t="s">
        <v>233</v>
      </c>
      <c r="L235" s="5" t="s">
        <v>1421</v>
      </c>
      <c r="M235" s="5"/>
      <c r="N235" s="5" t="s">
        <v>1422</v>
      </c>
    </row>
    <row r="236" customFormat="false" ht="216.4" hidden="false" customHeight="false" outlineLevel="0" collapsed="false">
      <c r="A236" s="5" t="s">
        <v>2333</v>
      </c>
      <c r="B236" s="5" t="s">
        <v>42</v>
      </c>
      <c r="C236" s="5" t="s">
        <v>69</v>
      </c>
      <c r="D236" s="16" t="n">
        <v>46265</v>
      </c>
      <c r="E236" s="5" t="s">
        <v>1265</v>
      </c>
      <c r="F236" s="5" t="n">
        <v>53</v>
      </c>
      <c r="G236" s="5" t="s">
        <v>385</v>
      </c>
      <c r="H236" s="5" t="s">
        <v>1443</v>
      </c>
      <c r="I236" s="5" t="s">
        <v>1444</v>
      </c>
      <c r="J236" s="5" t="n">
        <v>2026</v>
      </c>
      <c r="K236" s="5" t="s">
        <v>1445</v>
      </c>
      <c r="L236" s="5" t="s">
        <v>1446</v>
      </c>
      <c r="M236" s="5"/>
      <c r="N236" s="5" t="s">
        <v>1447</v>
      </c>
    </row>
    <row r="237" customFormat="false" ht="229.85" hidden="false" customHeight="false" outlineLevel="0" collapsed="false">
      <c r="A237" s="5" t="s">
        <v>2334</v>
      </c>
      <c r="B237" s="5" t="s">
        <v>42</v>
      </c>
      <c r="C237" s="5" t="s">
        <v>69</v>
      </c>
      <c r="D237" s="16" t="n">
        <v>46265</v>
      </c>
      <c r="E237" s="5" t="s">
        <v>1265</v>
      </c>
      <c r="F237" s="5" t="n">
        <v>54</v>
      </c>
      <c r="G237" s="5" t="s">
        <v>385</v>
      </c>
      <c r="H237" s="5" t="s">
        <v>1605</v>
      </c>
      <c r="I237" s="5" t="s">
        <v>1606</v>
      </c>
      <c r="J237" s="5" t="n">
        <v>2024</v>
      </c>
      <c r="K237" s="5" t="s">
        <v>1607</v>
      </c>
      <c r="L237" s="5" t="s">
        <v>1608</v>
      </c>
      <c r="M237" s="5"/>
      <c r="N237" s="5" t="s">
        <v>1609</v>
      </c>
    </row>
    <row r="238" customFormat="false" ht="189.55" hidden="false" customHeight="false" outlineLevel="0" collapsed="false">
      <c r="A238" s="5" t="s">
        <v>2335</v>
      </c>
      <c r="B238" s="5" t="s">
        <v>42</v>
      </c>
      <c r="C238" s="5" t="s">
        <v>69</v>
      </c>
      <c r="D238" s="16" t="n">
        <v>46265</v>
      </c>
      <c r="E238" s="5" t="s">
        <v>1265</v>
      </c>
      <c r="F238" s="5" t="n">
        <v>55</v>
      </c>
      <c r="G238" s="5" t="s">
        <v>385</v>
      </c>
      <c r="H238" s="5" t="s">
        <v>1611</v>
      </c>
      <c r="I238" s="5" t="s">
        <v>1612</v>
      </c>
      <c r="J238" s="5" t="n">
        <v>2026</v>
      </c>
      <c r="K238" s="5" t="s">
        <v>254</v>
      </c>
      <c r="L238" s="5" t="s">
        <v>1613</v>
      </c>
      <c r="M238" s="5"/>
      <c r="N238" s="5" t="s">
        <v>1614</v>
      </c>
    </row>
    <row r="239" customFormat="false" ht="283.55" hidden="false" customHeight="false" outlineLevel="0" collapsed="false">
      <c r="A239" s="5" t="s">
        <v>2336</v>
      </c>
      <c r="B239" s="5" t="s">
        <v>42</v>
      </c>
      <c r="C239" s="5" t="s">
        <v>69</v>
      </c>
      <c r="D239" s="16" t="n">
        <v>46265</v>
      </c>
      <c r="E239" s="5" t="s">
        <v>1265</v>
      </c>
      <c r="F239" s="5" t="n">
        <v>56</v>
      </c>
      <c r="G239" s="5" t="s">
        <v>385</v>
      </c>
      <c r="H239" s="5" t="s">
        <v>1397</v>
      </c>
      <c r="I239" s="5" t="s">
        <v>1398</v>
      </c>
      <c r="J239" s="5" t="n">
        <v>2026</v>
      </c>
      <c r="K239" s="5" t="s">
        <v>233</v>
      </c>
      <c r="L239" s="5" t="s">
        <v>1399</v>
      </c>
      <c r="M239" s="5"/>
      <c r="N239" s="5" t="s">
        <v>1400</v>
      </c>
    </row>
    <row r="240" customFormat="false" ht="229.85" hidden="false" customHeight="false" outlineLevel="0" collapsed="false">
      <c r="A240" s="5" t="s">
        <v>2337</v>
      </c>
      <c r="B240" s="5" t="s">
        <v>42</v>
      </c>
      <c r="C240" s="5" t="s">
        <v>69</v>
      </c>
      <c r="D240" s="16" t="n">
        <v>46265</v>
      </c>
      <c r="E240" s="5" t="s">
        <v>1265</v>
      </c>
      <c r="F240" s="5" t="n">
        <v>57</v>
      </c>
      <c r="G240" s="5" t="s">
        <v>385</v>
      </c>
      <c r="H240" s="5" t="s">
        <v>640</v>
      </c>
      <c r="I240" s="5" t="s">
        <v>1441</v>
      </c>
      <c r="J240" s="5" t="n">
        <v>2021</v>
      </c>
      <c r="K240" s="5" t="s">
        <v>254</v>
      </c>
      <c r="L240" s="5" t="s">
        <v>642</v>
      </c>
      <c r="M240" s="5"/>
      <c r="N240" s="5" t="s">
        <v>643</v>
      </c>
    </row>
    <row r="241" customFormat="false" ht="189.55" hidden="false" customHeight="false" outlineLevel="0" collapsed="false">
      <c r="A241" s="5" t="s">
        <v>2338</v>
      </c>
      <c r="B241" s="5" t="s">
        <v>42</v>
      </c>
      <c r="C241" s="5" t="s">
        <v>69</v>
      </c>
      <c r="D241" s="16" t="n">
        <v>46265</v>
      </c>
      <c r="E241" s="5" t="s">
        <v>1265</v>
      </c>
      <c r="F241" s="5" t="n">
        <v>58</v>
      </c>
      <c r="G241" s="5" t="s">
        <v>385</v>
      </c>
      <c r="H241" s="5" t="s">
        <v>424</v>
      </c>
      <c r="I241" s="5" t="s">
        <v>1304</v>
      </c>
      <c r="J241" s="5" t="n">
        <v>2025</v>
      </c>
      <c r="K241" s="5" t="s">
        <v>459</v>
      </c>
      <c r="L241" s="5" t="s">
        <v>426</v>
      </c>
      <c r="M241" s="5"/>
      <c r="N241" s="5" t="s">
        <v>1310</v>
      </c>
    </row>
    <row r="242" customFormat="false" ht="216.4" hidden="false" customHeight="false" outlineLevel="0" collapsed="false">
      <c r="A242" s="5" t="s">
        <v>2339</v>
      </c>
      <c r="B242" s="5" t="s">
        <v>42</v>
      </c>
      <c r="C242" s="5" t="s">
        <v>69</v>
      </c>
      <c r="D242" s="16" t="n">
        <v>46265</v>
      </c>
      <c r="E242" s="5" t="s">
        <v>1265</v>
      </c>
      <c r="F242" s="5" t="n">
        <v>59</v>
      </c>
      <c r="G242" s="5" t="s">
        <v>385</v>
      </c>
      <c r="H242" s="5" t="s">
        <v>710</v>
      </c>
      <c r="I242" s="5" t="s">
        <v>711</v>
      </c>
      <c r="J242" s="5" t="n">
        <v>2023</v>
      </c>
      <c r="K242" s="5" t="s">
        <v>703</v>
      </c>
      <c r="L242" s="5" t="s">
        <v>712</v>
      </c>
      <c r="M242" s="5"/>
      <c r="N242" s="5" t="s">
        <v>1474</v>
      </c>
    </row>
    <row r="243" customFormat="false" ht="229.85" hidden="false" customHeight="false" outlineLevel="0" collapsed="false">
      <c r="A243" s="5" t="s">
        <v>2340</v>
      </c>
      <c r="B243" s="5" t="s">
        <v>42</v>
      </c>
      <c r="C243" s="5" t="s">
        <v>69</v>
      </c>
      <c r="D243" s="16" t="n">
        <v>46265</v>
      </c>
      <c r="E243" s="5" t="s">
        <v>1265</v>
      </c>
      <c r="F243" s="5" t="n">
        <v>60</v>
      </c>
      <c r="G243" s="5" t="s">
        <v>385</v>
      </c>
      <c r="H243" s="5" t="s">
        <v>1527</v>
      </c>
      <c r="I243" s="5" t="s">
        <v>1528</v>
      </c>
      <c r="J243" s="5" t="n">
        <v>2023</v>
      </c>
      <c r="K243" s="5" t="s">
        <v>254</v>
      </c>
      <c r="L243" s="5" t="s">
        <v>851</v>
      </c>
      <c r="M243" s="5"/>
      <c r="N243" s="5" t="s">
        <v>1529</v>
      </c>
    </row>
    <row r="244" customFormat="false" ht="297" hidden="false" customHeight="false" outlineLevel="0" collapsed="false">
      <c r="A244" s="5" t="s">
        <v>2341</v>
      </c>
      <c r="B244" s="5" t="s">
        <v>42</v>
      </c>
      <c r="C244" s="5" t="s">
        <v>79</v>
      </c>
      <c r="D244" s="16" t="n">
        <v>46265</v>
      </c>
      <c r="E244" s="5" t="s">
        <v>1513</v>
      </c>
      <c r="F244" s="5" t="n">
        <v>1</v>
      </c>
      <c r="G244" s="5" t="s">
        <v>385</v>
      </c>
      <c r="H244" s="5" t="s">
        <v>645</v>
      </c>
      <c r="I244" s="5" t="s">
        <v>646</v>
      </c>
      <c r="J244" s="5" t="n">
        <v>2025</v>
      </c>
      <c r="K244" s="5" t="s">
        <v>276</v>
      </c>
      <c r="L244" s="5" t="s">
        <v>647</v>
      </c>
      <c r="M244" s="5" t="s">
        <v>2342</v>
      </c>
      <c r="N244" s="5" t="s">
        <v>648</v>
      </c>
    </row>
    <row r="245" customFormat="false" ht="189.55" hidden="false" customHeight="false" outlineLevel="0" collapsed="false">
      <c r="A245" s="5" t="s">
        <v>2343</v>
      </c>
      <c r="B245" s="5" t="s">
        <v>42</v>
      </c>
      <c r="C245" s="5" t="s">
        <v>79</v>
      </c>
      <c r="D245" s="16" t="n">
        <v>46265</v>
      </c>
      <c r="E245" s="5" t="s">
        <v>1513</v>
      </c>
      <c r="F245" s="5" t="n">
        <v>2</v>
      </c>
      <c r="G245" s="5" t="s">
        <v>385</v>
      </c>
      <c r="H245" s="5" t="s">
        <v>1510</v>
      </c>
      <c r="I245" s="5" t="s">
        <v>1511</v>
      </c>
      <c r="J245" s="5" t="n">
        <v>2026</v>
      </c>
      <c r="K245" s="5" t="s">
        <v>276</v>
      </c>
      <c r="L245" s="5" t="s">
        <v>1512</v>
      </c>
      <c r="M245" s="5" t="s">
        <v>2344</v>
      </c>
      <c r="N245" s="5" t="s">
        <v>1514</v>
      </c>
    </row>
    <row r="246" customFormat="false" ht="202.95" hidden="false" customHeight="false" outlineLevel="0" collapsed="false">
      <c r="A246" s="5" t="s">
        <v>2345</v>
      </c>
      <c r="B246" s="5" t="s">
        <v>42</v>
      </c>
      <c r="C246" s="5" t="s">
        <v>79</v>
      </c>
      <c r="D246" s="16" t="n">
        <v>46265</v>
      </c>
      <c r="E246" s="5" t="s">
        <v>1513</v>
      </c>
      <c r="F246" s="5" t="n">
        <v>3</v>
      </c>
      <c r="G246" s="5" t="s">
        <v>385</v>
      </c>
      <c r="H246" s="5" t="s">
        <v>1565</v>
      </c>
      <c r="I246" s="5" t="s">
        <v>2346</v>
      </c>
      <c r="J246" s="5" t="n">
        <v>2026</v>
      </c>
      <c r="K246" s="5" t="s">
        <v>276</v>
      </c>
      <c r="L246" s="5" t="s">
        <v>1567</v>
      </c>
      <c r="M246" s="5" t="s">
        <v>2347</v>
      </c>
      <c r="N246" s="5" t="s">
        <v>2348</v>
      </c>
    </row>
    <row r="247" customFormat="false" ht="270.1" hidden="false" customHeight="false" outlineLevel="0" collapsed="false">
      <c r="A247" s="5" t="s">
        <v>2349</v>
      </c>
      <c r="B247" s="5" t="s">
        <v>42</v>
      </c>
      <c r="C247" s="5" t="s">
        <v>79</v>
      </c>
      <c r="D247" s="16" t="n">
        <v>46265</v>
      </c>
      <c r="E247" s="5" t="s">
        <v>1513</v>
      </c>
      <c r="F247" s="5" t="n">
        <v>4</v>
      </c>
      <c r="G247" s="5" t="s">
        <v>385</v>
      </c>
      <c r="H247" s="5" t="s">
        <v>1269</v>
      </c>
      <c r="I247" s="5" t="s">
        <v>2350</v>
      </c>
      <c r="J247" s="5" t="n">
        <v>2026</v>
      </c>
      <c r="K247" s="5" t="s">
        <v>453</v>
      </c>
      <c r="L247" s="5" t="s">
        <v>1271</v>
      </c>
      <c r="M247" s="5" t="s">
        <v>2351</v>
      </c>
      <c r="N247" s="5" t="s">
        <v>1273</v>
      </c>
    </row>
    <row r="248" customFormat="false" ht="162.65" hidden="false" customHeight="false" outlineLevel="0" collapsed="false">
      <c r="A248" s="5" t="s">
        <v>2352</v>
      </c>
      <c r="B248" s="5" t="s">
        <v>42</v>
      </c>
      <c r="C248" s="5" t="s">
        <v>79</v>
      </c>
      <c r="D248" s="16" t="n">
        <v>46265</v>
      </c>
      <c r="E248" s="5" t="s">
        <v>1513</v>
      </c>
      <c r="F248" s="5" t="n">
        <v>5</v>
      </c>
      <c r="G248" s="5" t="s">
        <v>385</v>
      </c>
      <c r="H248" s="5" t="s">
        <v>242</v>
      </c>
      <c r="I248" s="5" t="s">
        <v>243</v>
      </c>
      <c r="J248" s="5" t="n">
        <v>2023</v>
      </c>
      <c r="K248" s="5" t="s">
        <v>244</v>
      </c>
      <c r="L248" s="5" t="s">
        <v>245</v>
      </c>
      <c r="M248" s="5" t="s">
        <v>2353</v>
      </c>
      <c r="N248" s="5" t="s">
        <v>477</v>
      </c>
    </row>
    <row r="249" customFormat="false" ht="256.7" hidden="false" customHeight="false" outlineLevel="0" collapsed="false">
      <c r="A249" s="5" t="s">
        <v>2354</v>
      </c>
      <c r="B249" s="5" t="s">
        <v>42</v>
      </c>
      <c r="C249" s="5" t="s">
        <v>81</v>
      </c>
      <c r="D249" s="16" t="n">
        <v>46265</v>
      </c>
      <c r="E249" s="5" t="s">
        <v>1284</v>
      </c>
      <c r="F249" s="5" t="n">
        <v>1</v>
      </c>
      <c r="G249" s="5" t="s">
        <v>385</v>
      </c>
      <c r="H249" s="5" t="s">
        <v>1073</v>
      </c>
      <c r="I249" s="5" t="s">
        <v>1074</v>
      </c>
      <c r="J249" s="5" t="n">
        <v>2019</v>
      </c>
      <c r="K249" s="5" t="s">
        <v>204</v>
      </c>
      <c r="L249" s="5" t="s">
        <v>1075</v>
      </c>
      <c r="M249" s="5" t="s">
        <v>2355</v>
      </c>
      <c r="N249" s="5" t="s">
        <v>1076</v>
      </c>
    </row>
    <row r="250" customFormat="false" ht="189.55" hidden="false" customHeight="false" outlineLevel="0" collapsed="false">
      <c r="A250" s="5" t="s">
        <v>2356</v>
      </c>
      <c r="B250" s="5" t="s">
        <v>42</v>
      </c>
      <c r="C250" s="5" t="s">
        <v>81</v>
      </c>
      <c r="D250" s="16" t="n">
        <v>46265</v>
      </c>
      <c r="E250" s="5" t="s">
        <v>1284</v>
      </c>
      <c r="F250" s="5" t="n">
        <v>2</v>
      </c>
      <c r="G250" s="5" t="s">
        <v>385</v>
      </c>
      <c r="H250" s="5" t="s">
        <v>1162</v>
      </c>
      <c r="I250" s="5" t="s">
        <v>1163</v>
      </c>
      <c r="J250" s="5" t="n">
        <v>2025</v>
      </c>
      <c r="K250" s="5" t="s">
        <v>249</v>
      </c>
      <c r="L250" s="5" t="s">
        <v>1164</v>
      </c>
      <c r="M250" s="5" t="s">
        <v>2357</v>
      </c>
      <c r="N250" s="5" t="s">
        <v>1165</v>
      </c>
    </row>
    <row r="251" customFormat="false" ht="189.55" hidden="false" customHeight="false" outlineLevel="0" collapsed="false">
      <c r="A251" s="5" t="s">
        <v>2358</v>
      </c>
      <c r="B251" s="5" t="s">
        <v>42</v>
      </c>
      <c r="C251" s="5" t="s">
        <v>81</v>
      </c>
      <c r="D251" s="16" t="n">
        <v>46265</v>
      </c>
      <c r="E251" s="5" t="s">
        <v>1284</v>
      </c>
      <c r="F251" s="5" t="n">
        <v>3</v>
      </c>
      <c r="G251" s="5" t="s">
        <v>385</v>
      </c>
      <c r="H251" s="5" t="s">
        <v>424</v>
      </c>
      <c r="I251" s="5" t="s">
        <v>425</v>
      </c>
      <c r="J251" s="5" t="n">
        <v>2025</v>
      </c>
      <c r="K251" s="5" t="s">
        <v>276</v>
      </c>
      <c r="L251" s="5" t="s">
        <v>426</v>
      </c>
      <c r="M251" s="5" t="s">
        <v>2359</v>
      </c>
      <c r="N251" s="5" t="s">
        <v>430</v>
      </c>
    </row>
    <row r="252" customFormat="false" ht="229.85" hidden="false" customHeight="false" outlineLevel="0" collapsed="false">
      <c r="A252" s="5" t="s">
        <v>2360</v>
      </c>
      <c r="B252" s="5" t="s">
        <v>42</v>
      </c>
      <c r="C252" s="5" t="s">
        <v>81</v>
      </c>
      <c r="D252" s="16" t="n">
        <v>46265</v>
      </c>
      <c r="E252" s="5" t="s">
        <v>1284</v>
      </c>
      <c r="F252" s="5" t="n">
        <v>4</v>
      </c>
      <c r="G252" s="5" t="s">
        <v>385</v>
      </c>
      <c r="H252" s="5" t="s">
        <v>1402</v>
      </c>
      <c r="I252" s="5" t="s">
        <v>2361</v>
      </c>
      <c r="J252" s="5" t="n">
        <v>2026</v>
      </c>
      <c r="K252" s="5" t="s">
        <v>204</v>
      </c>
      <c r="L252" s="5" t="s">
        <v>1405</v>
      </c>
      <c r="M252" s="5" t="s">
        <v>2362</v>
      </c>
      <c r="N252" s="5" t="s">
        <v>1406</v>
      </c>
    </row>
    <row r="253" customFormat="false" ht="229.85" hidden="false" customHeight="false" outlineLevel="0" collapsed="false">
      <c r="A253" s="5" t="s">
        <v>2363</v>
      </c>
      <c r="B253" s="5" t="s">
        <v>42</v>
      </c>
      <c r="C253" s="5" t="s">
        <v>81</v>
      </c>
      <c r="D253" s="16" t="n">
        <v>46265</v>
      </c>
      <c r="E253" s="5" t="s">
        <v>1284</v>
      </c>
      <c r="F253" s="5" t="n">
        <v>5</v>
      </c>
      <c r="G253" s="5" t="s">
        <v>385</v>
      </c>
      <c r="H253" s="5" t="s">
        <v>1549</v>
      </c>
      <c r="I253" s="5" t="s">
        <v>1550</v>
      </c>
      <c r="J253" s="5" t="n">
        <v>2026</v>
      </c>
      <c r="K253" s="5" t="s">
        <v>204</v>
      </c>
      <c r="L253" s="5" t="s">
        <v>1551</v>
      </c>
      <c r="M253" s="5" t="s">
        <v>2364</v>
      </c>
      <c r="N253" s="5" t="s">
        <v>1552</v>
      </c>
    </row>
    <row r="254" customFormat="false" ht="202.95" hidden="false" customHeight="false" outlineLevel="0" collapsed="false">
      <c r="A254" s="5" t="s">
        <v>2365</v>
      </c>
      <c r="B254" s="5" t="s">
        <v>42</v>
      </c>
      <c r="C254" s="5" t="s">
        <v>81</v>
      </c>
      <c r="D254" s="16" t="n">
        <v>46265</v>
      </c>
      <c r="E254" s="5" t="s">
        <v>1284</v>
      </c>
      <c r="F254" s="5" t="n">
        <v>6</v>
      </c>
      <c r="G254" s="5" t="s">
        <v>385</v>
      </c>
      <c r="H254" s="5" t="s">
        <v>1543</v>
      </c>
      <c r="I254" s="5" t="s">
        <v>1544</v>
      </c>
      <c r="J254" s="5" t="n">
        <v>2025</v>
      </c>
      <c r="K254" s="5" t="s">
        <v>1545</v>
      </c>
      <c r="L254" s="5" t="s">
        <v>1546</v>
      </c>
      <c r="M254" s="5" t="s">
        <v>2366</v>
      </c>
      <c r="N254" s="5" t="s">
        <v>1547</v>
      </c>
    </row>
    <row r="255" customFormat="false" ht="176.1" hidden="false" customHeight="false" outlineLevel="0" collapsed="false">
      <c r="A255" s="5" t="s">
        <v>2367</v>
      </c>
      <c r="B255" s="5" t="s">
        <v>42</v>
      </c>
      <c r="C255" s="5" t="s">
        <v>81</v>
      </c>
      <c r="D255" s="16" t="n">
        <v>46265</v>
      </c>
      <c r="E255" s="5" t="s">
        <v>1284</v>
      </c>
      <c r="F255" s="5" t="n">
        <v>7</v>
      </c>
      <c r="G255" s="5" t="s">
        <v>385</v>
      </c>
      <c r="H255" s="5" t="s">
        <v>1503</v>
      </c>
      <c r="I255" s="5" t="s">
        <v>2368</v>
      </c>
      <c r="J255" s="5" t="n">
        <v>2025</v>
      </c>
      <c r="K255" s="5" t="s">
        <v>2369</v>
      </c>
      <c r="L255" s="5" t="s">
        <v>1506</v>
      </c>
      <c r="M255" s="5" t="s">
        <v>2370</v>
      </c>
      <c r="N255" s="5" t="s">
        <v>1507</v>
      </c>
    </row>
    <row r="256" customFormat="false" ht="229.85" hidden="false" customHeight="false" outlineLevel="0" collapsed="false">
      <c r="A256" s="5" t="s">
        <v>2371</v>
      </c>
      <c r="B256" s="5" t="s">
        <v>42</v>
      </c>
      <c r="C256" s="5" t="s">
        <v>81</v>
      </c>
      <c r="D256" s="16" t="n">
        <v>46265</v>
      </c>
      <c r="E256" s="5" t="s">
        <v>1284</v>
      </c>
      <c r="F256" s="5" t="n">
        <v>8</v>
      </c>
      <c r="G256" s="5" t="s">
        <v>385</v>
      </c>
      <c r="H256" s="5" t="s">
        <v>1469</v>
      </c>
      <c r="I256" s="5" t="s">
        <v>1470</v>
      </c>
      <c r="J256" s="5" t="n">
        <v>2025</v>
      </c>
      <c r="K256" s="5" t="s">
        <v>453</v>
      </c>
      <c r="L256" s="5" t="s">
        <v>1471</v>
      </c>
      <c r="M256" s="5" t="s">
        <v>2372</v>
      </c>
      <c r="N256" s="5" t="s">
        <v>1472</v>
      </c>
    </row>
    <row r="257" customFormat="false" ht="189.55" hidden="false" customHeight="false" outlineLevel="0" collapsed="false">
      <c r="A257" s="5" t="s">
        <v>2373</v>
      </c>
      <c r="B257" s="5" t="s">
        <v>42</v>
      </c>
      <c r="C257" s="5" t="s">
        <v>81</v>
      </c>
      <c r="D257" s="16" t="n">
        <v>46265</v>
      </c>
      <c r="E257" s="5" t="s">
        <v>1284</v>
      </c>
      <c r="F257" s="5" t="n">
        <v>9</v>
      </c>
      <c r="G257" s="5" t="s">
        <v>385</v>
      </c>
      <c r="H257" s="5" t="s">
        <v>1600</v>
      </c>
      <c r="I257" s="5" t="s">
        <v>1601</v>
      </c>
      <c r="J257" s="5" t="n">
        <v>2025</v>
      </c>
      <c r="K257" s="5" t="s">
        <v>453</v>
      </c>
      <c r="L257" s="5" t="s">
        <v>1602</v>
      </c>
      <c r="M257" s="5" t="s">
        <v>2374</v>
      </c>
      <c r="N257" s="5" t="s">
        <v>1603</v>
      </c>
    </row>
    <row r="258" customFormat="false" ht="270.1" hidden="false" customHeight="false" outlineLevel="0" collapsed="false">
      <c r="A258" s="5" t="s">
        <v>2375</v>
      </c>
      <c r="B258" s="5" t="s">
        <v>42</v>
      </c>
      <c r="C258" s="5" t="s">
        <v>81</v>
      </c>
      <c r="D258" s="16" t="n">
        <v>46265</v>
      </c>
      <c r="E258" s="5" t="s">
        <v>1284</v>
      </c>
      <c r="F258" s="5" t="n">
        <v>10</v>
      </c>
      <c r="G258" s="5" t="s">
        <v>385</v>
      </c>
      <c r="H258" s="5" t="s">
        <v>548</v>
      </c>
      <c r="I258" s="5" t="s">
        <v>2376</v>
      </c>
      <c r="J258" s="5" t="n">
        <v>2024</v>
      </c>
      <c r="K258" s="5" t="s">
        <v>453</v>
      </c>
      <c r="L258" s="5" t="s">
        <v>550</v>
      </c>
      <c r="M258" s="5" t="s">
        <v>2377</v>
      </c>
      <c r="N258" s="5" t="s">
        <v>2378</v>
      </c>
    </row>
    <row r="259" customFormat="false" ht="256.7" hidden="false" customHeight="false" outlineLevel="0" collapsed="false">
      <c r="A259" s="5" t="s">
        <v>2379</v>
      </c>
      <c r="B259" s="5" t="s">
        <v>42</v>
      </c>
      <c r="C259" s="5" t="s">
        <v>81</v>
      </c>
      <c r="D259" s="16" t="n">
        <v>46265</v>
      </c>
      <c r="E259" s="5" t="s">
        <v>1284</v>
      </c>
      <c r="F259" s="5" t="n">
        <v>11</v>
      </c>
      <c r="G259" s="5" t="s">
        <v>385</v>
      </c>
      <c r="H259" s="5" t="s">
        <v>1554</v>
      </c>
      <c r="I259" s="5" t="s">
        <v>1555</v>
      </c>
      <c r="J259" s="5" t="n">
        <v>2024</v>
      </c>
      <c r="K259" s="5" t="s">
        <v>1545</v>
      </c>
      <c r="L259" s="5" t="s">
        <v>1556</v>
      </c>
      <c r="M259" s="5" t="s">
        <v>2380</v>
      </c>
      <c r="N259" s="5" t="s">
        <v>1557</v>
      </c>
    </row>
    <row r="260" customFormat="false" ht="189.55" hidden="false" customHeight="false" outlineLevel="0" collapsed="false">
      <c r="A260" s="5" t="s">
        <v>2381</v>
      </c>
      <c r="B260" s="5" t="s">
        <v>42</v>
      </c>
      <c r="C260" s="5" t="s">
        <v>81</v>
      </c>
      <c r="D260" s="16" t="n">
        <v>46265</v>
      </c>
      <c r="E260" s="5" t="s">
        <v>1284</v>
      </c>
      <c r="F260" s="5" t="n">
        <v>12</v>
      </c>
      <c r="G260" s="5" t="s">
        <v>385</v>
      </c>
      <c r="H260" s="5" t="s">
        <v>531</v>
      </c>
      <c r="I260" s="5" t="s">
        <v>2382</v>
      </c>
      <c r="J260" s="5" t="n">
        <v>2022</v>
      </c>
      <c r="K260" s="5" t="s">
        <v>453</v>
      </c>
      <c r="L260" s="5" t="s">
        <v>533</v>
      </c>
      <c r="M260" s="5" t="s">
        <v>2383</v>
      </c>
      <c r="N260" s="5" t="s">
        <v>1388</v>
      </c>
    </row>
    <row r="261" customFormat="false" ht="229.85" hidden="false" customHeight="false" outlineLevel="0" collapsed="false">
      <c r="A261" s="5" t="s">
        <v>2384</v>
      </c>
      <c r="B261" s="5" t="s">
        <v>42</v>
      </c>
      <c r="C261" s="5" t="s">
        <v>81</v>
      </c>
      <c r="D261" s="16" t="n">
        <v>46265</v>
      </c>
      <c r="E261" s="5" t="s">
        <v>1284</v>
      </c>
      <c r="F261" s="5" t="n">
        <v>13</v>
      </c>
      <c r="G261" s="5" t="s">
        <v>385</v>
      </c>
      <c r="H261" s="5" t="s">
        <v>1281</v>
      </c>
      <c r="I261" s="5" t="s">
        <v>1282</v>
      </c>
      <c r="J261" s="5" t="n">
        <v>2026</v>
      </c>
      <c r="K261" s="5" t="s">
        <v>453</v>
      </c>
      <c r="L261" s="5" t="s">
        <v>1283</v>
      </c>
      <c r="M261" s="5" t="s">
        <v>2385</v>
      </c>
      <c r="N261" s="5" t="s">
        <v>1285</v>
      </c>
    </row>
    <row r="262" customFormat="false" ht="243.25" hidden="false" customHeight="false" outlineLevel="0" collapsed="false">
      <c r="A262" s="5" t="s">
        <v>2386</v>
      </c>
      <c r="B262" s="5" t="s">
        <v>42</v>
      </c>
      <c r="C262" s="5" t="s">
        <v>81</v>
      </c>
      <c r="D262" s="16" t="n">
        <v>46265</v>
      </c>
      <c r="E262" s="5" t="s">
        <v>1284</v>
      </c>
      <c r="F262" s="5" t="n">
        <v>14</v>
      </c>
      <c r="G262" s="5" t="s">
        <v>385</v>
      </c>
      <c r="H262" s="5" t="s">
        <v>1223</v>
      </c>
      <c r="I262" s="5" t="s">
        <v>2387</v>
      </c>
      <c r="J262" s="5" t="n">
        <v>2022</v>
      </c>
      <c r="K262" s="5" t="s">
        <v>559</v>
      </c>
      <c r="L262" s="5" t="s">
        <v>1226</v>
      </c>
      <c r="M262" s="5" t="s">
        <v>2388</v>
      </c>
      <c r="N262" s="5" t="s">
        <v>2389</v>
      </c>
    </row>
    <row r="263" customFormat="false" ht="189.55" hidden="false" customHeight="false" outlineLevel="0" collapsed="false">
      <c r="A263" s="5" t="s">
        <v>2390</v>
      </c>
      <c r="B263" s="5" t="s">
        <v>42</v>
      </c>
      <c r="C263" s="5" t="s">
        <v>81</v>
      </c>
      <c r="D263" s="16" t="n">
        <v>46265</v>
      </c>
      <c r="E263" s="5" t="s">
        <v>1284</v>
      </c>
      <c r="F263" s="5" t="n">
        <v>15</v>
      </c>
      <c r="G263" s="5" t="s">
        <v>385</v>
      </c>
      <c r="H263" s="5" t="s">
        <v>1611</v>
      </c>
      <c r="I263" s="5" t="s">
        <v>2391</v>
      </c>
      <c r="J263" s="5" t="n">
        <v>2026</v>
      </c>
      <c r="K263" s="5" t="s">
        <v>453</v>
      </c>
      <c r="L263" s="5" t="s">
        <v>1613</v>
      </c>
      <c r="M263" s="5" t="s">
        <v>2392</v>
      </c>
      <c r="N263" s="5" t="s">
        <v>2393</v>
      </c>
    </row>
    <row r="264" customFormat="false" ht="176.1" hidden="false" customHeight="false" outlineLevel="0" collapsed="false">
      <c r="A264" s="5" t="s">
        <v>2394</v>
      </c>
      <c r="B264" s="5" t="s">
        <v>42</v>
      </c>
      <c r="C264" s="5" t="s">
        <v>73</v>
      </c>
      <c r="D264" s="16" t="n">
        <v>46265</v>
      </c>
      <c r="E264" s="5" t="s">
        <v>2395</v>
      </c>
      <c r="F264" s="5" t="n">
        <v>1</v>
      </c>
      <c r="G264" s="5" t="s">
        <v>1290</v>
      </c>
      <c r="H264" s="5" t="s">
        <v>1332</v>
      </c>
      <c r="I264" s="5" t="s">
        <v>1333</v>
      </c>
      <c r="J264" s="5" t="n">
        <v>2020</v>
      </c>
      <c r="K264" s="5" t="s">
        <v>1334</v>
      </c>
      <c r="L264" s="5" t="s">
        <v>1335</v>
      </c>
      <c r="M264" s="5" t="s">
        <v>2396</v>
      </c>
      <c r="N264" s="5" t="s">
        <v>1337</v>
      </c>
    </row>
    <row r="265" customFormat="false" ht="135.8" hidden="false" customHeight="false" outlineLevel="0" collapsed="false">
      <c r="A265" s="5" t="s">
        <v>2397</v>
      </c>
      <c r="B265" s="5" t="s">
        <v>42</v>
      </c>
      <c r="C265" s="5" t="s">
        <v>73</v>
      </c>
      <c r="D265" s="16" t="n">
        <v>46265</v>
      </c>
      <c r="E265" s="5" t="s">
        <v>2395</v>
      </c>
      <c r="F265" s="5" t="n">
        <v>2</v>
      </c>
      <c r="G265" s="5" t="s">
        <v>385</v>
      </c>
      <c r="H265" s="5" t="s">
        <v>766</v>
      </c>
      <c r="I265" s="5" t="s">
        <v>767</v>
      </c>
      <c r="J265" s="5" t="n">
        <v>2020</v>
      </c>
      <c r="K265" s="5" t="s">
        <v>673</v>
      </c>
      <c r="L265" s="5" t="s">
        <v>768</v>
      </c>
      <c r="M265" s="5" t="s">
        <v>2398</v>
      </c>
      <c r="N265" s="5" t="s">
        <v>769</v>
      </c>
    </row>
    <row r="266" customFormat="false" ht="229.85" hidden="false" customHeight="false" outlineLevel="0" collapsed="false">
      <c r="A266" s="5" t="s">
        <v>2399</v>
      </c>
      <c r="B266" s="5" t="s">
        <v>42</v>
      </c>
      <c r="C266" s="5" t="s">
        <v>73</v>
      </c>
      <c r="D266" s="16" t="n">
        <v>46265</v>
      </c>
      <c r="E266" s="5" t="s">
        <v>2395</v>
      </c>
      <c r="F266" s="5" t="n">
        <v>3</v>
      </c>
      <c r="G266" s="5" t="s">
        <v>385</v>
      </c>
      <c r="H266" s="5" t="s">
        <v>207</v>
      </c>
      <c r="I266" s="5" t="s">
        <v>2400</v>
      </c>
      <c r="J266" s="5" t="n">
        <v>2021</v>
      </c>
      <c r="K266" s="5" t="s">
        <v>1792</v>
      </c>
      <c r="L266" s="5" t="s">
        <v>210</v>
      </c>
      <c r="M266" s="5" t="s">
        <v>2401</v>
      </c>
      <c r="N266" s="5" t="s">
        <v>1314</v>
      </c>
    </row>
    <row r="267" customFormat="false" ht="122.35" hidden="false" customHeight="false" outlineLevel="0" collapsed="false">
      <c r="A267" s="5" t="s">
        <v>2402</v>
      </c>
      <c r="B267" s="5" t="s">
        <v>42</v>
      </c>
      <c r="C267" s="5" t="s">
        <v>73</v>
      </c>
      <c r="D267" s="16" t="n">
        <v>46265</v>
      </c>
      <c r="E267" s="5" t="s">
        <v>2395</v>
      </c>
      <c r="F267" s="5" t="n">
        <v>4</v>
      </c>
      <c r="G267" s="5" t="s">
        <v>1290</v>
      </c>
      <c r="H267" s="5" t="s">
        <v>1497</v>
      </c>
      <c r="I267" s="5" t="s">
        <v>1498</v>
      </c>
      <c r="J267" s="5" t="n">
        <v>2021</v>
      </c>
      <c r="K267" s="5" t="s">
        <v>1499</v>
      </c>
      <c r="L267" s="5" t="s">
        <v>1500</v>
      </c>
      <c r="M267" s="5" t="s">
        <v>2403</v>
      </c>
      <c r="N267" s="5" t="s">
        <v>1501</v>
      </c>
    </row>
    <row r="268" customFormat="false" ht="270.1" hidden="false" customHeight="false" outlineLevel="0" collapsed="false">
      <c r="A268" s="5" t="s">
        <v>2404</v>
      </c>
      <c r="B268" s="5" t="s">
        <v>42</v>
      </c>
      <c r="C268" s="5" t="s">
        <v>73</v>
      </c>
      <c r="D268" s="16" t="n">
        <v>46265</v>
      </c>
      <c r="E268" s="5" t="s">
        <v>2395</v>
      </c>
      <c r="F268" s="5" t="n">
        <v>5</v>
      </c>
      <c r="G268" s="5" t="s">
        <v>385</v>
      </c>
      <c r="H268" s="5" t="s">
        <v>1431</v>
      </c>
      <c r="I268" s="5" t="s">
        <v>1432</v>
      </c>
      <c r="J268" s="5" t="n">
        <v>2026</v>
      </c>
      <c r="K268" s="5" t="s">
        <v>228</v>
      </c>
      <c r="L268" s="5" t="s">
        <v>1433</v>
      </c>
      <c r="M268" s="5" t="s">
        <v>2405</v>
      </c>
      <c r="N268" s="5" t="s">
        <v>1434</v>
      </c>
    </row>
    <row r="269" customFormat="false" ht="162.65" hidden="false" customHeight="false" outlineLevel="0" collapsed="false">
      <c r="A269" s="5" t="s">
        <v>2406</v>
      </c>
      <c r="B269" s="5" t="s">
        <v>42</v>
      </c>
      <c r="C269" s="5" t="s">
        <v>73</v>
      </c>
      <c r="D269" s="16" t="n">
        <v>46265</v>
      </c>
      <c r="E269" s="5" t="s">
        <v>2395</v>
      </c>
      <c r="F269" s="5" t="n">
        <v>6</v>
      </c>
      <c r="G269" s="5" t="s">
        <v>385</v>
      </c>
      <c r="H269" s="5" t="s">
        <v>1478</v>
      </c>
      <c r="I269" s="5" t="s">
        <v>1479</v>
      </c>
      <c r="J269" s="5" t="n">
        <v>2024</v>
      </c>
      <c r="K269" s="5" t="s">
        <v>228</v>
      </c>
      <c r="L269" s="5" t="s">
        <v>1480</v>
      </c>
      <c r="M269" s="5" t="s">
        <v>2407</v>
      </c>
      <c r="N269" s="5" t="s">
        <v>1481</v>
      </c>
    </row>
    <row r="270" customFormat="false" ht="108.95" hidden="false" customHeight="false" outlineLevel="0" collapsed="false">
      <c r="A270" s="5" t="s">
        <v>2408</v>
      </c>
      <c r="B270" s="5" t="s">
        <v>42</v>
      </c>
      <c r="C270" s="5" t="s">
        <v>73</v>
      </c>
      <c r="D270" s="16" t="n">
        <v>46265</v>
      </c>
      <c r="E270" s="5" t="s">
        <v>2395</v>
      </c>
      <c r="F270" s="5" t="n">
        <v>7</v>
      </c>
      <c r="G270" s="5" t="s">
        <v>1290</v>
      </c>
      <c r="H270" s="5" t="s">
        <v>1594</v>
      </c>
      <c r="I270" s="5" t="s">
        <v>1595</v>
      </c>
      <c r="J270" s="5" t="n">
        <v>2022</v>
      </c>
      <c r="K270" s="5" t="s">
        <v>1596</v>
      </c>
      <c r="L270" s="5" t="s">
        <v>1597</v>
      </c>
      <c r="M270" s="5" t="s">
        <v>2409</v>
      </c>
      <c r="N270" s="5" t="s">
        <v>1598</v>
      </c>
    </row>
    <row r="271" customFormat="false" ht="297" hidden="false" customHeight="false" outlineLevel="0" collapsed="false">
      <c r="A271" s="5" t="s">
        <v>2410</v>
      </c>
      <c r="B271" s="5" t="s">
        <v>42</v>
      </c>
      <c r="C271" s="5" t="s">
        <v>73</v>
      </c>
      <c r="D271" s="16" t="n">
        <v>46265</v>
      </c>
      <c r="E271" s="5" t="s">
        <v>2395</v>
      </c>
      <c r="F271" s="5" t="n">
        <v>8</v>
      </c>
      <c r="G271" s="5" t="s">
        <v>1290</v>
      </c>
      <c r="H271" s="5" t="s">
        <v>1367</v>
      </c>
      <c r="I271" s="5" t="s">
        <v>1368</v>
      </c>
      <c r="J271" s="5" t="n">
        <v>2026</v>
      </c>
      <c r="K271" s="5" t="s">
        <v>1369</v>
      </c>
      <c r="L271" s="5" t="s">
        <v>1370</v>
      </c>
      <c r="M271" s="5" t="s">
        <v>2411</v>
      </c>
      <c r="N271" s="5" t="s">
        <v>1371</v>
      </c>
    </row>
    <row r="272" customFormat="false" ht="149.25" hidden="false" customHeight="false" outlineLevel="0" collapsed="false">
      <c r="A272" s="5" t="s">
        <v>2412</v>
      </c>
      <c r="B272" s="5" t="s">
        <v>42</v>
      </c>
      <c r="C272" s="5" t="s">
        <v>73</v>
      </c>
      <c r="D272" s="16" t="n">
        <v>46265</v>
      </c>
      <c r="E272" s="5" t="s">
        <v>2395</v>
      </c>
      <c r="F272" s="5" t="n">
        <v>9</v>
      </c>
      <c r="G272" s="5" t="s">
        <v>1290</v>
      </c>
      <c r="H272" s="5" t="s">
        <v>1361</v>
      </c>
      <c r="I272" s="5" t="s">
        <v>1362</v>
      </c>
      <c r="J272" s="5" t="n">
        <v>2024</v>
      </c>
      <c r="K272" s="5" t="s">
        <v>1363</v>
      </c>
      <c r="L272" s="5" t="s">
        <v>1364</v>
      </c>
      <c r="M272" s="5" t="s">
        <v>2413</v>
      </c>
      <c r="N272" s="5" t="s">
        <v>1365</v>
      </c>
    </row>
    <row r="273" customFormat="false" ht="176.1" hidden="false" customHeight="false" outlineLevel="0" collapsed="false">
      <c r="A273" s="5" t="s">
        <v>2414</v>
      </c>
      <c r="B273" s="5" t="s">
        <v>42</v>
      </c>
      <c r="C273" s="5" t="s">
        <v>73</v>
      </c>
      <c r="D273" s="16" t="n">
        <v>46265</v>
      </c>
      <c r="E273" s="5" t="s">
        <v>2395</v>
      </c>
      <c r="F273" s="5" t="n">
        <v>10</v>
      </c>
      <c r="G273" s="5" t="s">
        <v>385</v>
      </c>
      <c r="H273" s="5" t="s">
        <v>746</v>
      </c>
      <c r="I273" s="5" t="s">
        <v>2415</v>
      </c>
      <c r="J273" s="5" t="n">
        <v>2021</v>
      </c>
      <c r="K273" s="5" t="s">
        <v>673</v>
      </c>
      <c r="L273" s="5" t="s">
        <v>749</v>
      </c>
      <c r="M273" s="5" t="s">
        <v>2416</v>
      </c>
      <c r="N273" s="5" t="s">
        <v>1483</v>
      </c>
    </row>
    <row r="274" customFormat="false" ht="135.8" hidden="false" customHeight="false" outlineLevel="0" collapsed="false">
      <c r="A274" s="5" t="s">
        <v>2417</v>
      </c>
      <c r="B274" s="5" t="s">
        <v>42</v>
      </c>
      <c r="C274" s="5" t="s">
        <v>73</v>
      </c>
      <c r="D274" s="16" t="n">
        <v>46265</v>
      </c>
      <c r="E274" s="5" t="s">
        <v>2395</v>
      </c>
      <c r="F274" s="5" t="n">
        <v>11</v>
      </c>
      <c r="G274" s="5" t="s">
        <v>1290</v>
      </c>
      <c r="H274" s="5" t="s">
        <v>1655</v>
      </c>
      <c r="I274" s="5" t="s">
        <v>1656</v>
      </c>
      <c r="J274" s="5" t="n">
        <v>2024</v>
      </c>
      <c r="K274" s="5" t="s">
        <v>1657</v>
      </c>
      <c r="L274" s="5" t="s">
        <v>1658</v>
      </c>
      <c r="M274" s="5" t="s">
        <v>2418</v>
      </c>
      <c r="N274" s="5" t="s">
        <v>1659</v>
      </c>
    </row>
    <row r="275" customFormat="false" ht="162.65" hidden="false" customHeight="false" outlineLevel="0" collapsed="false">
      <c r="A275" s="5" t="s">
        <v>2419</v>
      </c>
      <c r="B275" s="5" t="s">
        <v>42</v>
      </c>
      <c r="C275" s="5" t="s">
        <v>73</v>
      </c>
      <c r="D275" s="16" t="n">
        <v>46265</v>
      </c>
      <c r="E275" s="5" t="s">
        <v>2395</v>
      </c>
      <c r="F275" s="5" t="n">
        <v>12</v>
      </c>
      <c r="G275" s="5" t="s">
        <v>1290</v>
      </c>
      <c r="H275" s="5" t="s">
        <v>1288</v>
      </c>
      <c r="I275" s="5" t="s">
        <v>1289</v>
      </c>
      <c r="J275" s="5" t="n">
        <v>2025</v>
      </c>
      <c r="K275" s="5" t="s">
        <v>1291</v>
      </c>
      <c r="L275" s="5" t="s">
        <v>1292</v>
      </c>
      <c r="M275" s="5" t="s">
        <v>2420</v>
      </c>
      <c r="N275" s="5" t="s">
        <v>1295</v>
      </c>
    </row>
    <row r="276" customFormat="false" ht="108.95" hidden="false" customHeight="false" outlineLevel="0" collapsed="false">
      <c r="A276" s="5" t="s">
        <v>2421</v>
      </c>
      <c r="B276" s="5" t="s">
        <v>42</v>
      </c>
      <c r="C276" s="5" t="s">
        <v>73</v>
      </c>
      <c r="D276" s="16" t="n">
        <v>46265</v>
      </c>
      <c r="E276" s="5" t="s">
        <v>2395</v>
      </c>
      <c r="F276" s="5" t="n">
        <v>13</v>
      </c>
      <c r="G276" s="5" t="s">
        <v>1290</v>
      </c>
      <c r="H276" s="5" t="s">
        <v>1649</v>
      </c>
      <c r="I276" s="5" t="s">
        <v>1650</v>
      </c>
      <c r="J276" s="5" t="n">
        <v>2025</v>
      </c>
      <c r="K276" s="5" t="s">
        <v>1651</v>
      </c>
      <c r="L276" s="5" t="s">
        <v>1652</v>
      </c>
      <c r="M276" s="5" t="s">
        <v>2422</v>
      </c>
      <c r="N276" s="5" t="s">
        <v>1653</v>
      </c>
    </row>
    <row r="277" customFormat="false" ht="229.85" hidden="false" customHeight="false" outlineLevel="0" collapsed="false">
      <c r="A277" s="5" t="s">
        <v>2423</v>
      </c>
      <c r="B277" s="5" t="s">
        <v>42</v>
      </c>
      <c r="C277" s="5" t="s">
        <v>73</v>
      </c>
      <c r="D277" s="16" t="n">
        <v>46265</v>
      </c>
      <c r="E277" s="5" t="s">
        <v>2395</v>
      </c>
      <c r="F277" s="5" t="n">
        <v>14</v>
      </c>
      <c r="G277" s="5" t="s">
        <v>385</v>
      </c>
      <c r="H277" s="5" t="s">
        <v>1322</v>
      </c>
      <c r="I277" s="5" t="s">
        <v>1323</v>
      </c>
      <c r="J277" s="5" t="n">
        <v>2026</v>
      </c>
      <c r="K277" s="5" t="s">
        <v>487</v>
      </c>
      <c r="L277" s="5" t="s">
        <v>1324</v>
      </c>
      <c r="M277" s="5" t="s">
        <v>2424</v>
      </c>
      <c r="N277" s="5" t="s">
        <v>1325</v>
      </c>
    </row>
    <row r="278" customFormat="false" ht="149.25" hidden="false" customHeight="false" outlineLevel="0" collapsed="false">
      <c r="A278" s="5" t="s">
        <v>2425</v>
      </c>
      <c r="B278" s="5" t="s">
        <v>42</v>
      </c>
      <c r="C278" s="5" t="s">
        <v>73</v>
      </c>
      <c r="D278" s="16" t="n">
        <v>46265</v>
      </c>
      <c r="E278" s="5" t="s">
        <v>2395</v>
      </c>
      <c r="F278" s="5" t="n">
        <v>15</v>
      </c>
      <c r="G278" s="5" t="s">
        <v>385</v>
      </c>
      <c r="H278" s="5" t="s">
        <v>1536</v>
      </c>
      <c r="I278" s="5" t="s">
        <v>2426</v>
      </c>
      <c r="J278" s="5" t="n">
        <v>2022</v>
      </c>
      <c r="K278" s="5" t="s">
        <v>228</v>
      </c>
      <c r="L278" s="5" t="s">
        <v>1538</v>
      </c>
      <c r="M278" s="5" t="s">
        <v>2427</v>
      </c>
      <c r="N278" s="5" t="s">
        <v>1541</v>
      </c>
    </row>
    <row r="279" customFormat="false" ht="122.35" hidden="false" customHeight="false" outlineLevel="0" collapsed="false">
      <c r="A279" s="5" t="s">
        <v>2428</v>
      </c>
      <c r="B279" s="5" t="s">
        <v>42</v>
      </c>
      <c r="C279" s="5" t="s">
        <v>73</v>
      </c>
      <c r="D279" s="16" t="n">
        <v>46265</v>
      </c>
      <c r="E279" s="5" t="s">
        <v>2395</v>
      </c>
      <c r="F279" s="5" t="n">
        <v>16</v>
      </c>
      <c r="G279" s="5" t="s">
        <v>1290</v>
      </c>
      <c r="H279" s="5" t="s">
        <v>1316</v>
      </c>
      <c r="I279" s="5" t="s">
        <v>1317</v>
      </c>
      <c r="J279" s="5" t="n">
        <v>2026</v>
      </c>
      <c r="K279" s="5" t="s">
        <v>1318</v>
      </c>
      <c r="L279" s="5" t="s">
        <v>1319</v>
      </c>
      <c r="M279" s="5" t="s">
        <v>2429</v>
      </c>
      <c r="N279" s="5" t="s">
        <v>1320</v>
      </c>
    </row>
    <row r="280" customFormat="false" ht="176.1" hidden="false" customHeight="false" outlineLevel="0" collapsed="false">
      <c r="A280" s="5" t="s">
        <v>2430</v>
      </c>
      <c r="B280" s="5" t="s">
        <v>42</v>
      </c>
      <c r="C280" s="5" t="s">
        <v>73</v>
      </c>
      <c r="D280" s="16" t="n">
        <v>46265</v>
      </c>
      <c r="E280" s="5" t="s">
        <v>2395</v>
      </c>
      <c r="F280" s="5" t="n">
        <v>17</v>
      </c>
      <c r="G280" s="5" t="s">
        <v>1290</v>
      </c>
      <c r="H280" s="5" t="s">
        <v>1411</v>
      </c>
      <c r="I280" s="5" t="s">
        <v>1412</v>
      </c>
      <c r="J280" s="5" t="n">
        <v>2022</v>
      </c>
      <c r="K280" s="5" t="s">
        <v>1413</v>
      </c>
      <c r="L280" s="5" t="s">
        <v>1414</v>
      </c>
      <c r="M280" s="5" t="s">
        <v>2431</v>
      </c>
      <c r="N280" s="5" t="s">
        <v>1415</v>
      </c>
    </row>
    <row r="281" customFormat="false" ht="243.25" hidden="false" customHeight="false" outlineLevel="0" collapsed="false">
      <c r="A281" s="5" t="s">
        <v>2432</v>
      </c>
      <c r="B281" s="5" t="s">
        <v>42</v>
      </c>
      <c r="C281" s="5" t="s">
        <v>73</v>
      </c>
      <c r="D281" s="16" t="n">
        <v>46265</v>
      </c>
      <c r="E281" s="5" t="s">
        <v>2395</v>
      </c>
      <c r="F281" s="5" t="n">
        <v>18</v>
      </c>
      <c r="G281" s="5" t="s">
        <v>385</v>
      </c>
      <c r="H281" s="5" t="s">
        <v>583</v>
      </c>
      <c r="I281" s="5" t="s">
        <v>584</v>
      </c>
      <c r="J281" s="5" t="n">
        <v>2026</v>
      </c>
      <c r="K281" s="5" t="s">
        <v>228</v>
      </c>
      <c r="L281" s="5" t="s">
        <v>585</v>
      </c>
      <c r="M281" s="5" t="s">
        <v>2433</v>
      </c>
      <c r="N281" s="5" t="s">
        <v>586</v>
      </c>
    </row>
    <row r="282" customFormat="false" ht="270.1" hidden="false" customHeight="false" outlineLevel="0" collapsed="false">
      <c r="A282" s="5" t="s">
        <v>2434</v>
      </c>
      <c r="B282" s="5" t="s">
        <v>42</v>
      </c>
      <c r="C282" s="5" t="s">
        <v>73</v>
      </c>
      <c r="D282" s="16" t="n">
        <v>46265</v>
      </c>
      <c r="E282" s="5" t="s">
        <v>2395</v>
      </c>
      <c r="F282" s="5" t="n">
        <v>19</v>
      </c>
      <c r="G282" s="5" t="s">
        <v>385</v>
      </c>
      <c r="H282" s="5" t="s">
        <v>1378</v>
      </c>
      <c r="I282" s="5" t="s">
        <v>1379</v>
      </c>
      <c r="J282" s="5" t="n">
        <v>2022</v>
      </c>
      <c r="K282" s="5" t="s">
        <v>228</v>
      </c>
      <c r="L282" s="5" t="s">
        <v>1380</v>
      </c>
      <c r="M282" s="5" t="s">
        <v>2435</v>
      </c>
      <c r="N282" s="5" t="s">
        <v>1381</v>
      </c>
    </row>
    <row r="283" customFormat="false" ht="229.85" hidden="false" customHeight="false" outlineLevel="0" collapsed="false">
      <c r="A283" s="5" t="s">
        <v>2436</v>
      </c>
      <c r="B283" s="5" t="s">
        <v>42</v>
      </c>
      <c r="C283" s="5" t="s">
        <v>73</v>
      </c>
      <c r="D283" s="16" t="n">
        <v>46265</v>
      </c>
      <c r="E283" s="5" t="s">
        <v>2395</v>
      </c>
      <c r="F283" s="5" t="n">
        <v>20</v>
      </c>
      <c r="G283" s="5" t="s">
        <v>385</v>
      </c>
      <c r="H283" s="5" t="s">
        <v>687</v>
      </c>
      <c r="I283" s="5" t="s">
        <v>688</v>
      </c>
      <c r="J283" s="5" t="n">
        <v>2025</v>
      </c>
      <c r="K283" s="5" t="s">
        <v>228</v>
      </c>
      <c r="L283" s="5" t="s">
        <v>689</v>
      </c>
      <c r="M283" s="5" t="s">
        <v>2437</v>
      </c>
      <c r="N283" s="5" t="s">
        <v>690</v>
      </c>
    </row>
    <row r="284" customFormat="false" ht="202.95" hidden="false" customHeight="false" outlineLevel="0" collapsed="false">
      <c r="A284" s="5" t="s">
        <v>2438</v>
      </c>
      <c r="B284" s="5" t="s">
        <v>42</v>
      </c>
      <c r="C284" s="5" t="s">
        <v>73</v>
      </c>
      <c r="D284" s="16" t="n">
        <v>46265</v>
      </c>
      <c r="E284" s="5" t="s">
        <v>2395</v>
      </c>
      <c r="F284" s="5" t="n">
        <v>21</v>
      </c>
      <c r="G284" s="5" t="s">
        <v>385</v>
      </c>
      <c r="H284" s="5" t="s">
        <v>1522</v>
      </c>
      <c r="I284" s="5" t="s">
        <v>1523</v>
      </c>
      <c r="J284" s="5" t="n">
        <v>2026</v>
      </c>
      <c r="K284" s="5" t="s">
        <v>228</v>
      </c>
      <c r="L284" s="5" t="s">
        <v>1524</v>
      </c>
      <c r="M284" s="5" t="s">
        <v>2439</v>
      </c>
      <c r="N284" s="5" t="s">
        <v>1525</v>
      </c>
    </row>
    <row r="285" customFormat="false" ht="216.4" hidden="false" customHeight="false" outlineLevel="0" collapsed="false">
      <c r="A285" s="5" t="s">
        <v>2440</v>
      </c>
      <c r="B285" s="5" t="s">
        <v>42</v>
      </c>
      <c r="C285" s="5" t="s">
        <v>73</v>
      </c>
      <c r="D285" s="16" t="n">
        <v>46265</v>
      </c>
      <c r="E285" s="5" t="s">
        <v>2395</v>
      </c>
      <c r="F285" s="5" t="n">
        <v>22</v>
      </c>
      <c r="G285" s="5" t="s">
        <v>385</v>
      </c>
      <c r="H285" s="5" t="s">
        <v>1152</v>
      </c>
      <c r="I285" s="5" t="s">
        <v>1153</v>
      </c>
      <c r="J285" s="5" t="n">
        <v>2024</v>
      </c>
      <c r="K285" s="5" t="s">
        <v>228</v>
      </c>
      <c r="L285" s="5" t="s">
        <v>1154</v>
      </c>
      <c r="M285" s="5" t="s">
        <v>2441</v>
      </c>
      <c r="N285" s="5" t="s">
        <v>1155</v>
      </c>
    </row>
    <row r="286" customFormat="false" ht="176.1" hidden="false" customHeight="false" outlineLevel="0" collapsed="false">
      <c r="A286" s="5" t="s">
        <v>2442</v>
      </c>
      <c r="B286" s="5" t="s">
        <v>42</v>
      </c>
      <c r="C286" s="5" t="s">
        <v>73</v>
      </c>
      <c r="D286" s="16" t="n">
        <v>46265</v>
      </c>
      <c r="E286" s="5" t="s">
        <v>2395</v>
      </c>
      <c r="F286" s="5" t="n">
        <v>23</v>
      </c>
      <c r="G286" s="5" t="s">
        <v>385</v>
      </c>
      <c r="H286" s="5" t="s">
        <v>1644</v>
      </c>
      <c r="I286" s="5" t="s">
        <v>1645</v>
      </c>
      <c r="J286" s="5" t="n">
        <v>2024</v>
      </c>
      <c r="K286" s="5" t="s">
        <v>228</v>
      </c>
      <c r="L286" s="5" t="s">
        <v>1646</v>
      </c>
      <c r="M286" s="5" t="s">
        <v>2443</v>
      </c>
      <c r="N286" s="5" t="s">
        <v>1647</v>
      </c>
    </row>
    <row r="287" customFormat="false" ht="229.85" hidden="false" customHeight="false" outlineLevel="0" collapsed="false">
      <c r="A287" s="5" t="s">
        <v>2444</v>
      </c>
      <c r="B287" s="5" t="s">
        <v>46</v>
      </c>
      <c r="C287" s="5" t="s">
        <v>69</v>
      </c>
      <c r="D287" s="16" t="n">
        <v>46267</v>
      </c>
      <c r="E287" s="5" t="s">
        <v>1680</v>
      </c>
      <c r="F287" s="5" t="n">
        <v>1</v>
      </c>
      <c r="G287" s="5" t="s">
        <v>385</v>
      </c>
      <c r="H287" s="5" t="s">
        <v>1402</v>
      </c>
      <c r="I287" s="5" t="s">
        <v>1403</v>
      </c>
      <c r="J287" s="5" t="n">
        <v>2026</v>
      </c>
      <c r="K287" s="5" t="s">
        <v>1404</v>
      </c>
      <c r="L287" s="5" t="s">
        <v>1405</v>
      </c>
      <c r="M287" s="5"/>
      <c r="N287" s="5" t="s">
        <v>1406</v>
      </c>
    </row>
    <row r="288" customFormat="false" ht="270.1" hidden="false" customHeight="false" outlineLevel="0" collapsed="false">
      <c r="A288" s="5" t="s">
        <v>2445</v>
      </c>
      <c r="B288" s="5" t="s">
        <v>46</v>
      </c>
      <c r="C288" s="5" t="s">
        <v>69</v>
      </c>
      <c r="D288" s="16" t="n">
        <v>46267</v>
      </c>
      <c r="E288" s="5" t="s">
        <v>1680</v>
      </c>
      <c r="F288" s="5" t="n">
        <v>2</v>
      </c>
      <c r="G288" s="5" t="s">
        <v>385</v>
      </c>
      <c r="H288" s="5" t="s">
        <v>1892</v>
      </c>
      <c r="I288" s="5" t="s">
        <v>1893</v>
      </c>
      <c r="J288" s="5" t="n">
        <v>2026</v>
      </c>
      <c r="K288" s="5" t="s">
        <v>1894</v>
      </c>
      <c r="L288" s="5" t="s">
        <v>1895</v>
      </c>
      <c r="M288" s="5"/>
      <c r="N288" s="5" t="s">
        <v>1896</v>
      </c>
    </row>
    <row r="289" customFormat="false" ht="243.25" hidden="false" customHeight="false" outlineLevel="0" collapsed="false">
      <c r="A289" s="5" t="s">
        <v>2446</v>
      </c>
      <c r="B289" s="5" t="s">
        <v>46</v>
      </c>
      <c r="C289" s="5" t="s">
        <v>69</v>
      </c>
      <c r="D289" s="16" t="n">
        <v>46267</v>
      </c>
      <c r="E289" s="5" t="s">
        <v>1680</v>
      </c>
      <c r="F289" s="5" t="n">
        <v>3</v>
      </c>
      <c r="G289" s="5" t="s">
        <v>385</v>
      </c>
      <c r="H289" s="5" t="s">
        <v>1886</v>
      </c>
      <c r="I289" s="5" t="s">
        <v>1887</v>
      </c>
      <c r="J289" s="5" t="n">
        <v>2026</v>
      </c>
      <c r="K289" s="5" t="s">
        <v>1888</v>
      </c>
      <c r="L289" s="5" t="s">
        <v>1889</v>
      </c>
      <c r="M289" s="5"/>
      <c r="N289" s="5" t="s">
        <v>1890</v>
      </c>
    </row>
    <row r="290" customFormat="false" ht="216.4" hidden="false" customHeight="false" outlineLevel="0" collapsed="false">
      <c r="A290" s="5" t="s">
        <v>2447</v>
      </c>
      <c r="B290" s="5" t="s">
        <v>46</v>
      </c>
      <c r="C290" s="5" t="s">
        <v>69</v>
      </c>
      <c r="D290" s="16" t="n">
        <v>46267</v>
      </c>
      <c r="E290" s="5" t="s">
        <v>1680</v>
      </c>
      <c r="F290" s="5" t="n">
        <v>4</v>
      </c>
      <c r="G290" s="5" t="s">
        <v>385</v>
      </c>
      <c r="H290" s="5" t="s">
        <v>1443</v>
      </c>
      <c r="I290" s="5" t="s">
        <v>1444</v>
      </c>
      <c r="J290" s="5" t="n">
        <v>2026</v>
      </c>
      <c r="K290" s="5" t="s">
        <v>1445</v>
      </c>
      <c r="L290" s="5" t="s">
        <v>1446</v>
      </c>
      <c r="M290" s="5"/>
      <c r="N290" s="5" t="s">
        <v>1447</v>
      </c>
    </row>
    <row r="291" customFormat="false" ht="162.65" hidden="false" customHeight="false" outlineLevel="0" collapsed="false">
      <c r="A291" s="5" t="s">
        <v>2448</v>
      </c>
      <c r="B291" s="5" t="s">
        <v>46</v>
      </c>
      <c r="C291" s="5" t="s">
        <v>69</v>
      </c>
      <c r="D291" s="16" t="n">
        <v>46267</v>
      </c>
      <c r="E291" s="5" t="s">
        <v>1680</v>
      </c>
      <c r="F291" s="5" t="n">
        <v>5</v>
      </c>
      <c r="G291" s="5" t="s">
        <v>385</v>
      </c>
      <c r="H291" s="5" t="s">
        <v>1831</v>
      </c>
      <c r="I291" s="5" t="s">
        <v>1832</v>
      </c>
      <c r="J291" s="5" t="n">
        <v>2026</v>
      </c>
      <c r="K291" s="5" t="s">
        <v>626</v>
      </c>
      <c r="L291" s="5" t="s">
        <v>1833</v>
      </c>
      <c r="M291" s="5"/>
      <c r="N291" s="5" t="s">
        <v>1834</v>
      </c>
    </row>
    <row r="292" customFormat="false" ht="256.7" hidden="false" customHeight="false" outlineLevel="0" collapsed="false">
      <c r="A292" s="5" t="s">
        <v>2449</v>
      </c>
      <c r="B292" s="5" t="s">
        <v>46</v>
      </c>
      <c r="C292" s="5" t="s">
        <v>69</v>
      </c>
      <c r="D292" s="16" t="n">
        <v>46267</v>
      </c>
      <c r="E292" s="5" t="s">
        <v>1680</v>
      </c>
      <c r="F292" s="5" t="n">
        <v>6</v>
      </c>
      <c r="G292" s="5" t="s">
        <v>385</v>
      </c>
      <c r="H292" s="5" t="s">
        <v>1807</v>
      </c>
      <c r="I292" s="5" t="s">
        <v>1808</v>
      </c>
      <c r="J292" s="5" t="n">
        <v>2026</v>
      </c>
      <c r="K292" s="5" t="s">
        <v>626</v>
      </c>
      <c r="L292" s="5" t="s">
        <v>1809</v>
      </c>
      <c r="M292" s="5"/>
      <c r="N292" s="5" t="s">
        <v>1810</v>
      </c>
    </row>
    <row r="293" customFormat="false" ht="149.25" hidden="false" customHeight="false" outlineLevel="0" collapsed="false">
      <c r="A293" s="5" t="s">
        <v>2450</v>
      </c>
      <c r="B293" s="5" t="s">
        <v>46</v>
      </c>
      <c r="C293" s="5" t="s">
        <v>69</v>
      </c>
      <c r="D293" s="16" t="n">
        <v>46267</v>
      </c>
      <c r="E293" s="5" t="s">
        <v>1680</v>
      </c>
      <c r="F293" s="5" t="n">
        <v>7</v>
      </c>
      <c r="G293" s="5" t="s">
        <v>385</v>
      </c>
      <c r="H293" s="5" t="s">
        <v>293</v>
      </c>
      <c r="I293" s="5" t="s">
        <v>294</v>
      </c>
      <c r="J293" s="5" t="n">
        <v>2026</v>
      </c>
      <c r="K293" s="5" t="s">
        <v>295</v>
      </c>
      <c r="L293" s="5" t="s">
        <v>296</v>
      </c>
      <c r="M293" s="5"/>
      <c r="N293" s="5" t="s">
        <v>1775</v>
      </c>
    </row>
    <row r="294" customFormat="false" ht="162.65" hidden="false" customHeight="false" outlineLevel="0" collapsed="false">
      <c r="A294" s="5" t="s">
        <v>2451</v>
      </c>
      <c r="B294" s="5" t="s">
        <v>46</v>
      </c>
      <c r="C294" s="5" t="s">
        <v>69</v>
      </c>
      <c r="D294" s="16" t="n">
        <v>46267</v>
      </c>
      <c r="E294" s="5" t="s">
        <v>1680</v>
      </c>
      <c r="F294" s="5" t="n">
        <v>8</v>
      </c>
      <c r="G294" s="5" t="s">
        <v>385</v>
      </c>
      <c r="H294" s="5" t="s">
        <v>1813</v>
      </c>
      <c r="I294" s="5" t="s">
        <v>294</v>
      </c>
      <c r="J294" s="5" t="n">
        <v>2026</v>
      </c>
      <c r="K294" s="5" t="s">
        <v>1814</v>
      </c>
      <c r="L294" s="5" t="s">
        <v>1815</v>
      </c>
      <c r="M294" s="5"/>
      <c r="N294" s="5" t="s">
        <v>1819</v>
      </c>
    </row>
    <row r="295" customFormat="false" ht="189.55" hidden="false" customHeight="false" outlineLevel="0" collapsed="false">
      <c r="A295" s="5" t="s">
        <v>2452</v>
      </c>
      <c r="B295" s="5" t="s">
        <v>46</v>
      </c>
      <c r="C295" s="5" t="s">
        <v>69</v>
      </c>
      <c r="D295" s="16" t="n">
        <v>46267</v>
      </c>
      <c r="E295" s="5" t="s">
        <v>1680</v>
      </c>
      <c r="F295" s="5" t="n">
        <v>9</v>
      </c>
      <c r="G295" s="5" t="s">
        <v>385</v>
      </c>
      <c r="H295" s="5" t="s">
        <v>1877</v>
      </c>
      <c r="I295" s="5" t="s">
        <v>1878</v>
      </c>
      <c r="J295" s="5" t="n">
        <v>2026</v>
      </c>
      <c r="K295" s="5" t="s">
        <v>1879</v>
      </c>
      <c r="L295" s="5" t="s">
        <v>1880</v>
      </c>
      <c r="M295" s="5"/>
      <c r="N295" s="5" t="s">
        <v>1881</v>
      </c>
    </row>
    <row r="296" customFormat="false" ht="310.4" hidden="false" customHeight="false" outlineLevel="0" collapsed="false">
      <c r="A296" s="5" t="s">
        <v>2453</v>
      </c>
      <c r="B296" s="5" t="s">
        <v>46</v>
      </c>
      <c r="C296" s="5" t="s">
        <v>69</v>
      </c>
      <c r="D296" s="16" t="n">
        <v>46267</v>
      </c>
      <c r="E296" s="5" t="s">
        <v>1680</v>
      </c>
      <c r="F296" s="5" t="n">
        <v>10</v>
      </c>
      <c r="G296" s="5" t="s">
        <v>385</v>
      </c>
      <c r="H296" s="5" t="s">
        <v>1911</v>
      </c>
      <c r="I296" s="5" t="s">
        <v>1912</v>
      </c>
      <c r="J296" s="5" t="n">
        <v>2026</v>
      </c>
      <c r="K296" s="5" t="s">
        <v>626</v>
      </c>
      <c r="L296" s="5" t="s">
        <v>1913</v>
      </c>
      <c r="M296" s="5"/>
      <c r="N296" s="5" t="s">
        <v>1914</v>
      </c>
    </row>
    <row r="297" customFormat="false" ht="229.85" hidden="false" customHeight="false" outlineLevel="0" collapsed="false">
      <c r="A297" s="5" t="s">
        <v>2454</v>
      </c>
      <c r="B297" s="5" t="s">
        <v>46</v>
      </c>
      <c r="C297" s="5" t="s">
        <v>69</v>
      </c>
      <c r="D297" s="16" t="n">
        <v>46267</v>
      </c>
      <c r="E297" s="5" t="s">
        <v>1680</v>
      </c>
      <c r="F297" s="5" t="n">
        <v>11</v>
      </c>
      <c r="G297" s="5" t="s">
        <v>385</v>
      </c>
      <c r="H297" s="5" t="s">
        <v>1667</v>
      </c>
      <c r="I297" s="5" t="s">
        <v>1668</v>
      </c>
      <c r="J297" s="5" t="n">
        <v>2026</v>
      </c>
      <c r="K297" s="5" t="s">
        <v>575</v>
      </c>
      <c r="L297" s="5" t="s">
        <v>1669</v>
      </c>
      <c r="M297" s="5"/>
      <c r="N297" s="5" t="s">
        <v>1670</v>
      </c>
    </row>
    <row r="298" customFormat="false" ht="270.1" hidden="false" customHeight="false" outlineLevel="0" collapsed="false">
      <c r="A298" s="5" t="s">
        <v>2455</v>
      </c>
      <c r="B298" s="5" t="s">
        <v>46</v>
      </c>
      <c r="C298" s="5" t="s">
        <v>69</v>
      </c>
      <c r="D298" s="16" t="n">
        <v>46267</v>
      </c>
      <c r="E298" s="5" t="s">
        <v>1680</v>
      </c>
      <c r="F298" s="5" t="n">
        <v>12</v>
      </c>
      <c r="G298" s="5" t="s">
        <v>385</v>
      </c>
      <c r="H298" s="5" t="s">
        <v>1383</v>
      </c>
      <c r="I298" s="5" t="s">
        <v>1384</v>
      </c>
      <c r="J298" s="5" t="n">
        <v>2026</v>
      </c>
      <c r="K298" s="5" t="s">
        <v>523</v>
      </c>
      <c r="L298" s="5" t="s">
        <v>1385</v>
      </c>
      <c r="M298" s="5"/>
      <c r="N298" s="5" t="s">
        <v>1386</v>
      </c>
    </row>
    <row r="299" customFormat="false" ht="202.95" hidden="false" customHeight="false" outlineLevel="0" collapsed="false">
      <c r="A299" s="5" t="s">
        <v>2456</v>
      </c>
      <c r="B299" s="5" t="s">
        <v>46</v>
      </c>
      <c r="C299" s="5" t="s">
        <v>69</v>
      </c>
      <c r="D299" s="16" t="n">
        <v>46267</v>
      </c>
      <c r="E299" s="5" t="s">
        <v>1680</v>
      </c>
      <c r="F299" s="5" t="n">
        <v>13</v>
      </c>
      <c r="G299" s="5" t="s">
        <v>385</v>
      </c>
      <c r="H299" s="5" t="s">
        <v>1260</v>
      </c>
      <c r="I299" s="5" t="s">
        <v>1261</v>
      </c>
      <c r="J299" s="5" t="n">
        <v>2026</v>
      </c>
      <c r="K299" s="5" t="s">
        <v>233</v>
      </c>
      <c r="L299" s="5" t="s">
        <v>1262</v>
      </c>
      <c r="M299" s="5"/>
      <c r="N299" s="5" t="s">
        <v>1266</v>
      </c>
    </row>
    <row r="300" customFormat="false" ht="189.55" hidden="false" customHeight="false" outlineLevel="0" collapsed="false">
      <c r="A300" s="5" t="s">
        <v>2457</v>
      </c>
      <c r="B300" s="5" t="s">
        <v>46</v>
      </c>
      <c r="C300" s="5" t="s">
        <v>69</v>
      </c>
      <c r="D300" s="16" t="n">
        <v>46267</v>
      </c>
      <c r="E300" s="5" t="s">
        <v>1680</v>
      </c>
      <c r="F300" s="5" t="n">
        <v>14</v>
      </c>
      <c r="G300" s="5" t="s">
        <v>385</v>
      </c>
      <c r="H300" s="5" t="s">
        <v>1688</v>
      </c>
      <c r="I300" s="5" t="s">
        <v>1689</v>
      </c>
      <c r="J300" s="5" t="n">
        <v>2026</v>
      </c>
      <c r="K300" s="5" t="s">
        <v>233</v>
      </c>
      <c r="L300" s="5" t="s">
        <v>1690</v>
      </c>
      <c r="M300" s="5"/>
      <c r="N300" s="5" t="s">
        <v>1691</v>
      </c>
    </row>
    <row r="301" customFormat="false" ht="243.25" hidden="false" customHeight="false" outlineLevel="0" collapsed="false">
      <c r="A301" s="5" t="s">
        <v>2458</v>
      </c>
      <c r="B301" s="5" t="s">
        <v>46</v>
      </c>
      <c r="C301" s="5" t="s">
        <v>69</v>
      </c>
      <c r="D301" s="16" t="n">
        <v>46267</v>
      </c>
      <c r="E301" s="5" t="s">
        <v>1680</v>
      </c>
      <c r="F301" s="5" t="n">
        <v>15</v>
      </c>
      <c r="G301" s="5" t="s">
        <v>385</v>
      </c>
      <c r="H301" s="5" t="s">
        <v>1491</v>
      </c>
      <c r="I301" s="5" t="s">
        <v>1492</v>
      </c>
      <c r="J301" s="5" t="n">
        <v>2026</v>
      </c>
      <c r="K301" s="5" t="s">
        <v>1493</v>
      </c>
      <c r="L301" s="5" t="s">
        <v>1494</v>
      </c>
      <c r="M301" s="5"/>
      <c r="N301" s="5" t="s">
        <v>1495</v>
      </c>
    </row>
    <row r="302" customFormat="false" ht="337.3" hidden="false" customHeight="false" outlineLevel="0" collapsed="false">
      <c r="A302" s="5" t="s">
        <v>2459</v>
      </c>
      <c r="B302" s="5" t="s">
        <v>46</v>
      </c>
      <c r="C302" s="5" t="s">
        <v>69</v>
      </c>
      <c r="D302" s="16" t="n">
        <v>46267</v>
      </c>
      <c r="E302" s="5" t="s">
        <v>1680</v>
      </c>
      <c r="F302" s="5" t="n">
        <v>16</v>
      </c>
      <c r="G302" s="5" t="s">
        <v>385</v>
      </c>
      <c r="H302" s="5" t="s">
        <v>1923</v>
      </c>
      <c r="I302" s="5" t="s">
        <v>1924</v>
      </c>
      <c r="J302" s="5" t="n">
        <v>2026</v>
      </c>
      <c r="K302" s="5" t="s">
        <v>523</v>
      </c>
      <c r="L302" s="5" t="s">
        <v>1925</v>
      </c>
      <c r="M302" s="5"/>
      <c r="N302" s="5" t="s">
        <v>1926</v>
      </c>
    </row>
    <row r="303" customFormat="false" ht="202.95" hidden="false" customHeight="false" outlineLevel="0" collapsed="false">
      <c r="A303" s="5" t="s">
        <v>2460</v>
      </c>
      <c r="B303" s="5" t="s">
        <v>46</v>
      </c>
      <c r="C303" s="5" t="s">
        <v>69</v>
      </c>
      <c r="D303" s="16" t="n">
        <v>46267</v>
      </c>
      <c r="E303" s="5" t="s">
        <v>1680</v>
      </c>
      <c r="F303" s="5" t="n">
        <v>17</v>
      </c>
      <c r="G303" s="5" t="s">
        <v>385</v>
      </c>
      <c r="H303" s="5" t="s">
        <v>1784</v>
      </c>
      <c r="I303" s="5" t="s">
        <v>1785</v>
      </c>
      <c r="J303" s="5" t="n">
        <v>2026</v>
      </c>
      <c r="K303" s="5" t="s">
        <v>523</v>
      </c>
      <c r="L303" s="5" t="s">
        <v>1786</v>
      </c>
      <c r="M303" s="5"/>
      <c r="N303" s="5" t="s">
        <v>1787</v>
      </c>
    </row>
    <row r="304" customFormat="false" ht="216.4" hidden="false" customHeight="false" outlineLevel="0" collapsed="false">
      <c r="A304" s="5" t="s">
        <v>2461</v>
      </c>
      <c r="B304" s="5" t="s">
        <v>46</v>
      </c>
      <c r="C304" s="5" t="s">
        <v>69</v>
      </c>
      <c r="D304" s="16" t="n">
        <v>46267</v>
      </c>
      <c r="E304" s="5" t="s">
        <v>1680</v>
      </c>
      <c r="F304" s="5" t="n">
        <v>18</v>
      </c>
      <c r="G304" s="5" t="s">
        <v>385</v>
      </c>
      <c r="H304" s="5" t="s">
        <v>1871</v>
      </c>
      <c r="I304" s="5" t="s">
        <v>1872</v>
      </c>
      <c r="J304" s="5" t="n">
        <v>2026</v>
      </c>
      <c r="K304" s="5" t="s">
        <v>1873</v>
      </c>
      <c r="L304" s="5" t="s">
        <v>1874</v>
      </c>
      <c r="M304" s="5"/>
      <c r="N304" s="5" t="s">
        <v>1875</v>
      </c>
    </row>
    <row r="305" customFormat="false" ht="323.85" hidden="false" customHeight="false" outlineLevel="0" collapsed="false">
      <c r="A305" s="5" t="s">
        <v>2462</v>
      </c>
      <c r="B305" s="5" t="s">
        <v>46</v>
      </c>
      <c r="C305" s="5" t="s">
        <v>69</v>
      </c>
      <c r="D305" s="16" t="n">
        <v>46267</v>
      </c>
      <c r="E305" s="5" t="s">
        <v>1680</v>
      </c>
      <c r="F305" s="5" t="n">
        <v>19</v>
      </c>
      <c r="G305" s="5" t="s">
        <v>385</v>
      </c>
      <c r="H305" s="5" t="s">
        <v>1712</v>
      </c>
      <c r="I305" s="5" t="s">
        <v>1713</v>
      </c>
      <c r="J305" s="5" t="n">
        <v>2026</v>
      </c>
      <c r="K305" s="5" t="s">
        <v>575</v>
      </c>
      <c r="L305" s="5" t="s">
        <v>1714</v>
      </c>
      <c r="M305" s="5"/>
      <c r="N305" s="5" t="s">
        <v>1715</v>
      </c>
    </row>
    <row r="306" customFormat="false" ht="216.4" hidden="false" customHeight="false" outlineLevel="0" collapsed="false">
      <c r="A306" s="5" t="s">
        <v>2463</v>
      </c>
      <c r="B306" s="5" t="s">
        <v>46</v>
      </c>
      <c r="C306" s="5" t="s">
        <v>69</v>
      </c>
      <c r="D306" s="16" t="n">
        <v>46267</v>
      </c>
      <c r="E306" s="5" t="s">
        <v>1680</v>
      </c>
      <c r="F306" s="5" t="n">
        <v>20</v>
      </c>
      <c r="G306" s="5" t="s">
        <v>385</v>
      </c>
      <c r="H306" s="5" t="s">
        <v>1741</v>
      </c>
      <c r="I306" s="5" t="s">
        <v>1742</v>
      </c>
      <c r="J306" s="5" t="n">
        <v>2026</v>
      </c>
      <c r="K306" s="5" t="s">
        <v>233</v>
      </c>
      <c r="L306" s="5" t="s">
        <v>1743</v>
      </c>
      <c r="M306" s="5"/>
      <c r="N306" s="5" t="s">
        <v>1744</v>
      </c>
    </row>
    <row r="307" customFormat="false" ht="270.1" hidden="false" customHeight="false" outlineLevel="0" collapsed="false">
      <c r="A307" s="5" t="s">
        <v>2464</v>
      </c>
      <c r="B307" s="5" t="s">
        <v>46</v>
      </c>
      <c r="C307" s="5" t="s">
        <v>69</v>
      </c>
      <c r="D307" s="16" t="n">
        <v>46267</v>
      </c>
      <c r="E307" s="5" t="s">
        <v>1680</v>
      </c>
      <c r="F307" s="5" t="n">
        <v>21</v>
      </c>
      <c r="G307" s="5" t="s">
        <v>385</v>
      </c>
      <c r="H307" s="5" t="s">
        <v>1837</v>
      </c>
      <c r="I307" s="5" t="s">
        <v>1838</v>
      </c>
      <c r="J307" s="5" t="n">
        <v>2026</v>
      </c>
      <c r="K307" s="5" t="s">
        <v>575</v>
      </c>
      <c r="L307" s="5" t="s">
        <v>1839</v>
      </c>
      <c r="M307" s="5"/>
      <c r="N307" s="5" t="s">
        <v>1840</v>
      </c>
    </row>
    <row r="308" customFormat="false" ht="229.85" hidden="false" customHeight="false" outlineLevel="0" collapsed="false">
      <c r="A308" s="5" t="s">
        <v>2465</v>
      </c>
      <c r="B308" s="5" t="s">
        <v>46</v>
      </c>
      <c r="C308" s="5" t="s">
        <v>69</v>
      </c>
      <c r="D308" s="16" t="n">
        <v>46267</v>
      </c>
      <c r="E308" s="5" t="s">
        <v>1680</v>
      </c>
      <c r="F308" s="5" t="n">
        <v>22</v>
      </c>
      <c r="G308" s="5" t="s">
        <v>385</v>
      </c>
      <c r="H308" s="5" t="s">
        <v>1575</v>
      </c>
      <c r="I308" s="5" t="s">
        <v>1576</v>
      </c>
      <c r="J308" s="5" t="n">
        <v>2026</v>
      </c>
      <c r="K308" s="5" t="s">
        <v>523</v>
      </c>
      <c r="L308" s="5" t="s">
        <v>1577</v>
      </c>
      <c r="M308" s="5"/>
      <c r="N308" s="5" t="s">
        <v>1578</v>
      </c>
    </row>
    <row r="309" customFormat="false" ht="162.65" hidden="false" customHeight="false" outlineLevel="0" collapsed="false">
      <c r="A309" s="5" t="s">
        <v>2466</v>
      </c>
      <c r="B309" s="5" t="s">
        <v>46</v>
      </c>
      <c r="C309" s="5" t="s">
        <v>69</v>
      </c>
      <c r="D309" s="16" t="n">
        <v>46267</v>
      </c>
      <c r="E309" s="5" t="s">
        <v>1680</v>
      </c>
      <c r="F309" s="5" t="n">
        <v>23</v>
      </c>
      <c r="G309" s="5" t="s">
        <v>385</v>
      </c>
      <c r="H309" s="5" t="s">
        <v>1842</v>
      </c>
      <c r="I309" s="5" t="s">
        <v>1843</v>
      </c>
      <c r="J309" s="5" t="n">
        <v>2026</v>
      </c>
      <c r="K309" s="5" t="s">
        <v>1844</v>
      </c>
      <c r="L309" s="5" t="s">
        <v>1845</v>
      </c>
      <c r="M309" s="5"/>
      <c r="N309" s="5" t="s">
        <v>1846</v>
      </c>
    </row>
    <row r="310" customFormat="false" ht="216.4" hidden="false" customHeight="false" outlineLevel="0" collapsed="false">
      <c r="A310" s="5" t="s">
        <v>2467</v>
      </c>
      <c r="B310" s="5" t="s">
        <v>46</v>
      </c>
      <c r="C310" s="5" t="s">
        <v>69</v>
      </c>
      <c r="D310" s="16" t="n">
        <v>46267</v>
      </c>
      <c r="E310" s="5" t="s">
        <v>1680</v>
      </c>
      <c r="F310" s="5" t="n">
        <v>24</v>
      </c>
      <c r="G310" s="5" t="s">
        <v>385</v>
      </c>
      <c r="H310" s="5" t="s">
        <v>1747</v>
      </c>
      <c r="I310" s="5" t="s">
        <v>1748</v>
      </c>
      <c r="J310" s="5" t="n">
        <v>2026</v>
      </c>
      <c r="K310" s="5" t="s">
        <v>1749</v>
      </c>
      <c r="L310" s="5" t="s">
        <v>1750</v>
      </c>
      <c r="M310" s="5"/>
      <c r="N310" s="5" t="s">
        <v>1751</v>
      </c>
    </row>
    <row r="311" customFormat="false" ht="323.85" hidden="false" customHeight="false" outlineLevel="0" collapsed="false">
      <c r="A311" s="5" t="s">
        <v>2468</v>
      </c>
      <c r="B311" s="5" t="s">
        <v>46</v>
      </c>
      <c r="C311" s="5" t="s">
        <v>69</v>
      </c>
      <c r="D311" s="16" t="n">
        <v>46267</v>
      </c>
      <c r="E311" s="5" t="s">
        <v>1680</v>
      </c>
      <c r="F311" s="5" t="n">
        <v>25</v>
      </c>
      <c r="G311" s="5" t="s">
        <v>385</v>
      </c>
      <c r="H311" s="5" t="s">
        <v>1728</v>
      </c>
      <c r="I311" s="5" t="s">
        <v>1729</v>
      </c>
      <c r="J311" s="5" t="n">
        <v>2026</v>
      </c>
      <c r="K311" s="5" t="s">
        <v>459</v>
      </c>
      <c r="L311" s="5" t="s">
        <v>1730</v>
      </c>
      <c r="M311" s="5"/>
      <c r="N311" s="5" t="s">
        <v>1732</v>
      </c>
    </row>
    <row r="312" customFormat="false" ht="310.4" hidden="false" customHeight="false" outlineLevel="0" collapsed="false">
      <c r="A312" s="5" t="s">
        <v>2469</v>
      </c>
      <c r="B312" s="5" t="s">
        <v>46</v>
      </c>
      <c r="C312" s="5" t="s">
        <v>69</v>
      </c>
      <c r="D312" s="16" t="n">
        <v>46267</v>
      </c>
      <c r="E312" s="5" t="s">
        <v>1680</v>
      </c>
      <c r="F312" s="5" t="n">
        <v>26</v>
      </c>
      <c r="G312" s="5" t="s">
        <v>385</v>
      </c>
      <c r="H312" s="5" t="s">
        <v>1707</v>
      </c>
      <c r="I312" s="5" t="s">
        <v>1708</v>
      </c>
      <c r="J312" s="5" t="n">
        <v>2026</v>
      </c>
      <c r="K312" s="5" t="s">
        <v>1445</v>
      </c>
      <c r="L312" s="5" t="s">
        <v>1709</v>
      </c>
      <c r="M312" s="5"/>
      <c r="N312" s="5" t="s">
        <v>1710</v>
      </c>
    </row>
    <row r="313" customFormat="false" ht="202.95" hidden="false" customHeight="false" outlineLevel="0" collapsed="false">
      <c r="A313" s="5" t="s">
        <v>2470</v>
      </c>
      <c r="B313" s="5" t="s">
        <v>46</v>
      </c>
      <c r="C313" s="5" t="s">
        <v>79</v>
      </c>
      <c r="D313" s="16" t="n">
        <v>46267</v>
      </c>
      <c r="E313" s="5" t="s">
        <v>1702</v>
      </c>
      <c r="F313" s="5" t="n">
        <v>1</v>
      </c>
      <c r="G313" s="5" t="s">
        <v>385</v>
      </c>
      <c r="H313" s="5" t="s">
        <v>288</v>
      </c>
      <c r="I313" s="5" t="s">
        <v>289</v>
      </c>
      <c r="J313" s="5" t="n">
        <v>2025</v>
      </c>
      <c r="K313" s="5" t="s">
        <v>276</v>
      </c>
      <c r="L313" s="5" t="s">
        <v>290</v>
      </c>
      <c r="M313" s="5" t="s">
        <v>2471</v>
      </c>
      <c r="N313" s="5" t="s">
        <v>1884</v>
      </c>
    </row>
    <row r="314" customFormat="false" ht="162.65" hidden="false" customHeight="false" outlineLevel="0" collapsed="false">
      <c r="A314" s="5" t="s">
        <v>2472</v>
      </c>
      <c r="B314" s="5" t="s">
        <v>46</v>
      </c>
      <c r="C314" s="5" t="s">
        <v>79</v>
      </c>
      <c r="D314" s="16" t="n">
        <v>46267</v>
      </c>
      <c r="E314" s="5" t="s">
        <v>1702</v>
      </c>
      <c r="F314" s="5" t="n">
        <v>2</v>
      </c>
      <c r="G314" s="5" t="s">
        <v>385</v>
      </c>
      <c r="H314" s="5" t="s">
        <v>2473</v>
      </c>
      <c r="I314" s="5" t="s">
        <v>2474</v>
      </c>
      <c r="J314" s="5" t="n">
        <v>2026</v>
      </c>
      <c r="K314" s="5" t="s">
        <v>2475</v>
      </c>
      <c r="L314" s="5" t="s">
        <v>1815</v>
      </c>
      <c r="M314" s="5" t="s">
        <v>2476</v>
      </c>
      <c r="N314" s="5" t="s">
        <v>1819</v>
      </c>
    </row>
    <row r="315" customFormat="false" ht="310.4" hidden="false" customHeight="false" outlineLevel="0" collapsed="false">
      <c r="A315" s="5" t="s">
        <v>2477</v>
      </c>
      <c r="B315" s="5" t="s">
        <v>46</v>
      </c>
      <c r="C315" s="5" t="s">
        <v>79</v>
      </c>
      <c r="D315" s="16" t="n">
        <v>46267</v>
      </c>
      <c r="E315" s="5" t="s">
        <v>1702</v>
      </c>
      <c r="F315" s="5" t="n">
        <v>3</v>
      </c>
      <c r="G315" s="5" t="s">
        <v>385</v>
      </c>
      <c r="H315" s="5" t="s">
        <v>1707</v>
      </c>
      <c r="I315" s="5" t="s">
        <v>2478</v>
      </c>
      <c r="J315" s="5" t="n">
        <v>2026</v>
      </c>
      <c r="K315" s="5" t="s">
        <v>855</v>
      </c>
      <c r="L315" s="5" t="s">
        <v>1709</v>
      </c>
      <c r="M315" s="5" t="s">
        <v>2479</v>
      </c>
      <c r="N315" s="5" t="s">
        <v>2480</v>
      </c>
    </row>
    <row r="316" customFormat="false" ht="216.4" hidden="false" customHeight="false" outlineLevel="0" collapsed="false">
      <c r="A316" s="5" t="s">
        <v>2481</v>
      </c>
      <c r="B316" s="5" t="s">
        <v>46</v>
      </c>
      <c r="C316" s="5" t="s">
        <v>79</v>
      </c>
      <c r="D316" s="16" t="n">
        <v>46267</v>
      </c>
      <c r="E316" s="5" t="s">
        <v>1702</v>
      </c>
      <c r="F316" s="5" t="n">
        <v>4</v>
      </c>
      <c r="G316" s="5" t="s">
        <v>385</v>
      </c>
      <c r="H316" s="5" t="s">
        <v>1916</v>
      </c>
      <c r="I316" s="5" t="s">
        <v>1917</v>
      </c>
      <c r="J316" s="5" t="n">
        <v>2026</v>
      </c>
      <c r="K316" s="5" t="s">
        <v>1918</v>
      </c>
      <c r="L316" s="5" t="s">
        <v>1919</v>
      </c>
      <c r="M316" s="5" t="s">
        <v>2482</v>
      </c>
      <c r="N316" s="5" t="s">
        <v>1921</v>
      </c>
    </row>
    <row r="317" customFormat="false" ht="189.55" hidden="false" customHeight="false" outlineLevel="0" collapsed="false">
      <c r="A317" s="5" t="s">
        <v>2483</v>
      </c>
      <c r="B317" s="5" t="s">
        <v>46</v>
      </c>
      <c r="C317" s="5" t="s">
        <v>79</v>
      </c>
      <c r="D317" s="16" t="n">
        <v>46267</v>
      </c>
      <c r="E317" s="5" t="s">
        <v>1702</v>
      </c>
      <c r="F317" s="5" t="n">
        <v>5</v>
      </c>
      <c r="G317" s="5" t="s">
        <v>385</v>
      </c>
      <c r="H317" s="5" t="s">
        <v>1510</v>
      </c>
      <c r="I317" s="5" t="s">
        <v>1511</v>
      </c>
      <c r="J317" s="5" t="n">
        <v>2026</v>
      </c>
      <c r="K317" s="5" t="s">
        <v>276</v>
      </c>
      <c r="L317" s="5" t="s">
        <v>1512</v>
      </c>
      <c r="M317" s="5" t="s">
        <v>2344</v>
      </c>
      <c r="N317" s="5" t="s">
        <v>1514</v>
      </c>
    </row>
    <row r="318" customFormat="false" ht="243.25" hidden="false" customHeight="false" outlineLevel="0" collapsed="false">
      <c r="A318" s="5" t="s">
        <v>2484</v>
      </c>
      <c r="B318" s="5" t="s">
        <v>46</v>
      </c>
      <c r="C318" s="5" t="s">
        <v>79</v>
      </c>
      <c r="D318" s="16" t="n">
        <v>46267</v>
      </c>
      <c r="E318" s="5" t="s">
        <v>1702</v>
      </c>
      <c r="F318" s="5" t="n">
        <v>6</v>
      </c>
      <c r="G318" s="5" t="s">
        <v>385</v>
      </c>
      <c r="H318" s="5" t="s">
        <v>1491</v>
      </c>
      <c r="I318" s="5" t="s">
        <v>2485</v>
      </c>
      <c r="J318" s="5" t="n">
        <v>2026</v>
      </c>
      <c r="K318" s="5" t="s">
        <v>1545</v>
      </c>
      <c r="L318" s="5" t="s">
        <v>1494</v>
      </c>
      <c r="M318" s="5" t="s">
        <v>2486</v>
      </c>
      <c r="N318" s="5" t="s">
        <v>2487</v>
      </c>
    </row>
    <row r="319" customFormat="false" ht="229.85" hidden="false" customHeight="false" outlineLevel="0" collapsed="false">
      <c r="A319" s="5" t="s">
        <v>2488</v>
      </c>
      <c r="B319" s="5" t="s">
        <v>46</v>
      </c>
      <c r="C319" s="5" t="s">
        <v>79</v>
      </c>
      <c r="D319" s="16" t="n">
        <v>46267</v>
      </c>
      <c r="E319" s="5" t="s">
        <v>1702</v>
      </c>
      <c r="F319" s="5" t="n">
        <v>7</v>
      </c>
      <c r="G319" s="5" t="s">
        <v>385</v>
      </c>
      <c r="H319" s="5" t="s">
        <v>1717</v>
      </c>
      <c r="I319" s="5" t="s">
        <v>1718</v>
      </c>
      <c r="J319" s="5" t="n">
        <v>2026</v>
      </c>
      <c r="K319" s="5" t="s">
        <v>1719</v>
      </c>
      <c r="L319" s="5" t="s">
        <v>1720</v>
      </c>
      <c r="M319" s="5" t="s">
        <v>2489</v>
      </c>
      <c r="N319" s="5" t="s">
        <v>1721</v>
      </c>
    </row>
    <row r="320" customFormat="false" ht="189.55" hidden="false" customHeight="false" outlineLevel="0" collapsed="false">
      <c r="A320" s="5" t="s">
        <v>2490</v>
      </c>
      <c r="B320" s="5" t="s">
        <v>46</v>
      </c>
      <c r="C320" s="5" t="s">
        <v>79</v>
      </c>
      <c r="D320" s="16" t="n">
        <v>46267</v>
      </c>
      <c r="E320" s="5" t="s">
        <v>1702</v>
      </c>
      <c r="F320" s="5" t="n">
        <v>8</v>
      </c>
      <c r="G320" s="5" t="s">
        <v>385</v>
      </c>
      <c r="H320" s="5" t="s">
        <v>424</v>
      </c>
      <c r="I320" s="5" t="s">
        <v>425</v>
      </c>
      <c r="J320" s="5" t="n">
        <v>2025</v>
      </c>
      <c r="K320" s="5" t="s">
        <v>276</v>
      </c>
      <c r="L320" s="5" t="s">
        <v>426</v>
      </c>
      <c r="M320" s="5" t="s">
        <v>2359</v>
      </c>
      <c r="N320" s="5" t="s">
        <v>430</v>
      </c>
    </row>
    <row r="321" customFormat="false" ht="216.4" hidden="false" customHeight="false" outlineLevel="0" collapsed="false">
      <c r="A321" s="5" t="s">
        <v>2491</v>
      </c>
      <c r="B321" s="5" t="s">
        <v>46</v>
      </c>
      <c r="C321" s="5" t="s">
        <v>79</v>
      </c>
      <c r="D321" s="16" t="n">
        <v>46267</v>
      </c>
      <c r="E321" s="5" t="s">
        <v>1702</v>
      </c>
      <c r="F321" s="5" t="n">
        <v>9</v>
      </c>
      <c r="G321" s="5" t="s">
        <v>385</v>
      </c>
      <c r="H321" s="5" t="s">
        <v>1443</v>
      </c>
      <c r="I321" s="5" t="s">
        <v>2492</v>
      </c>
      <c r="J321" s="5" t="n">
        <v>2026</v>
      </c>
      <c r="K321" s="5" t="s">
        <v>855</v>
      </c>
      <c r="L321" s="5" t="s">
        <v>1446</v>
      </c>
      <c r="M321" s="5" t="s">
        <v>2493</v>
      </c>
      <c r="N321" s="5" t="s">
        <v>2494</v>
      </c>
    </row>
    <row r="322" customFormat="false" ht="229.85" hidden="false" customHeight="false" outlineLevel="0" collapsed="false">
      <c r="A322" s="5" t="s">
        <v>2495</v>
      </c>
      <c r="B322" s="5" t="s">
        <v>46</v>
      </c>
      <c r="C322" s="5" t="s">
        <v>79</v>
      </c>
      <c r="D322" s="16" t="n">
        <v>46267</v>
      </c>
      <c r="E322" s="5" t="s">
        <v>1702</v>
      </c>
      <c r="F322" s="5" t="n">
        <v>10</v>
      </c>
      <c r="G322" s="5" t="s">
        <v>385</v>
      </c>
      <c r="H322" s="5" t="s">
        <v>1402</v>
      </c>
      <c r="I322" s="5" t="s">
        <v>2361</v>
      </c>
      <c r="J322" s="5" t="n">
        <v>2026</v>
      </c>
      <c r="K322" s="5" t="s">
        <v>204</v>
      </c>
      <c r="L322" s="5" t="s">
        <v>1405</v>
      </c>
      <c r="M322" s="5" t="s">
        <v>2362</v>
      </c>
      <c r="N322" s="5" t="s">
        <v>1406</v>
      </c>
    </row>
    <row r="323" customFormat="false" ht="283.55" hidden="false" customHeight="false" outlineLevel="0" collapsed="false">
      <c r="A323" s="5" t="s">
        <v>2496</v>
      </c>
      <c r="B323" s="5" t="s">
        <v>46</v>
      </c>
      <c r="C323" s="5" t="s">
        <v>79</v>
      </c>
      <c r="D323" s="16" t="n">
        <v>46267</v>
      </c>
      <c r="E323" s="5" t="s">
        <v>1702</v>
      </c>
      <c r="F323" s="5" t="n">
        <v>11</v>
      </c>
      <c r="G323" s="5" t="s">
        <v>385</v>
      </c>
      <c r="H323" s="5" t="s">
        <v>996</v>
      </c>
      <c r="I323" s="5" t="s">
        <v>997</v>
      </c>
      <c r="J323" s="5" t="n">
        <v>2025</v>
      </c>
      <c r="K323" s="5" t="s">
        <v>276</v>
      </c>
      <c r="L323" s="5" t="s">
        <v>998</v>
      </c>
      <c r="M323" s="5" t="s">
        <v>2497</v>
      </c>
      <c r="N323" s="5" t="s">
        <v>999</v>
      </c>
    </row>
    <row r="324" customFormat="false" ht="216.4" hidden="false" customHeight="false" outlineLevel="0" collapsed="false">
      <c r="A324" s="5" t="s">
        <v>2498</v>
      </c>
      <c r="B324" s="5" t="s">
        <v>46</v>
      </c>
      <c r="C324" s="5" t="s">
        <v>79</v>
      </c>
      <c r="D324" s="16" t="n">
        <v>46267</v>
      </c>
      <c r="E324" s="5" t="s">
        <v>1702</v>
      </c>
      <c r="F324" s="5" t="n">
        <v>12</v>
      </c>
      <c r="G324" s="5" t="s">
        <v>385</v>
      </c>
      <c r="H324" s="5" t="s">
        <v>1699</v>
      </c>
      <c r="I324" s="5" t="s">
        <v>1700</v>
      </c>
      <c r="J324" s="5" t="n">
        <v>2026</v>
      </c>
      <c r="K324" s="5" t="s">
        <v>249</v>
      </c>
      <c r="L324" s="5" t="s">
        <v>1701</v>
      </c>
      <c r="M324" s="5" t="s">
        <v>2499</v>
      </c>
      <c r="N324" s="5" t="s">
        <v>1703</v>
      </c>
    </row>
    <row r="325" customFormat="false" ht="216.4" hidden="false" customHeight="false" outlineLevel="0" collapsed="false">
      <c r="A325" s="5" t="s">
        <v>2500</v>
      </c>
      <c r="B325" s="5" t="s">
        <v>46</v>
      </c>
      <c r="C325" s="5" t="s">
        <v>79</v>
      </c>
      <c r="D325" s="16" t="n">
        <v>46267</v>
      </c>
      <c r="E325" s="5" t="s">
        <v>1702</v>
      </c>
      <c r="F325" s="5" t="n">
        <v>13</v>
      </c>
      <c r="G325" s="5" t="s">
        <v>385</v>
      </c>
      <c r="H325" s="5" t="s">
        <v>279</v>
      </c>
      <c r="I325" s="5" t="s">
        <v>280</v>
      </c>
      <c r="J325" s="5" t="n">
        <v>2025</v>
      </c>
      <c r="K325" s="5" t="s">
        <v>223</v>
      </c>
      <c r="L325" s="5" t="s">
        <v>281</v>
      </c>
      <c r="M325" s="5" t="s">
        <v>2501</v>
      </c>
      <c r="N325" s="5" t="s">
        <v>1071</v>
      </c>
    </row>
    <row r="326" customFormat="false" ht="243.25" hidden="false" customHeight="false" outlineLevel="0" collapsed="false">
      <c r="A326" s="5" t="s">
        <v>2502</v>
      </c>
      <c r="B326" s="5" t="s">
        <v>46</v>
      </c>
      <c r="C326" s="5" t="s">
        <v>79</v>
      </c>
      <c r="D326" s="16" t="n">
        <v>46267</v>
      </c>
      <c r="E326" s="5" t="s">
        <v>1702</v>
      </c>
      <c r="F326" s="5" t="n">
        <v>14</v>
      </c>
      <c r="G326" s="5" t="s">
        <v>385</v>
      </c>
      <c r="H326" s="5" t="s">
        <v>274</v>
      </c>
      <c r="I326" s="5" t="s">
        <v>275</v>
      </c>
      <c r="J326" s="5" t="n">
        <v>2025</v>
      </c>
      <c r="K326" s="5" t="s">
        <v>276</v>
      </c>
      <c r="L326" s="5" t="s">
        <v>277</v>
      </c>
      <c r="M326" s="5" t="s">
        <v>2503</v>
      </c>
      <c r="N326" s="5" t="s">
        <v>989</v>
      </c>
    </row>
    <row r="327" customFormat="false" ht="297" hidden="false" customHeight="false" outlineLevel="0" collapsed="false">
      <c r="A327" s="5" t="s">
        <v>2504</v>
      </c>
      <c r="B327" s="5" t="s">
        <v>46</v>
      </c>
      <c r="C327" s="5" t="s">
        <v>79</v>
      </c>
      <c r="D327" s="16" t="n">
        <v>46267</v>
      </c>
      <c r="E327" s="5" t="s">
        <v>1702</v>
      </c>
      <c r="F327" s="5" t="n">
        <v>15</v>
      </c>
      <c r="G327" s="5" t="s">
        <v>385</v>
      </c>
      <c r="H327" s="5" t="s">
        <v>526</v>
      </c>
      <c r="I327" s="5" t="s">
        <v>527</v>
      </c>
      <c r="J327" s="5" t="n">
        <v>2025</v>
      </c>
      <c r="K327" s="5" t="s">
        <v>453</v>
      </c>
      <c r="L327" s="5" t="s">
        <v>528</v>
      </c>
      <c r="M327" s="5" t="s">
        <v>2505</v>
      </c>
      <c r="N327" s="5" t="s">
        <v>529</v>
      </c>
    </row>
    <row r="328" customFormat="false" ht="162.65" hidden="false" customHeight="false" outlineLevel="0" collapsed="false">
      <c r="A328" s="5" t="s">
        <v>2506</v>
      </c>
      <c r="B328" s="5" t="s">
        <v>46</v>
      </c>
      <c r="C328" s="5" t="s">
        <v>79</v>
      </c>
      <c r="D328" s="16" t="n">
        <v>46267</v>
      </c>
      <c r="E328" s="5" t="s">
        <v>1702</v>
      </c>
      <c r="F328" s="5" t="n">
        <v>16</v>
      </c>
      <c r="G328" s="5" t="s">
        <v>385</v>
      </c>
      <c r="H328" s="5" t="s">
        <v>1734</v>
      </c>
      <c r="I328" s="5" t="s">
        <v>1735</v>
      </c>
      <c r="J328" s="5" t="n">
        <v>2026</v>
      </c>
      <c r="K328" s="5" t="s">
        <v>732</v>
      </c>
      <c r="L328" s="5" t="s">
        <v>1736</v>
      </c>
      <c r="M328" s="5" t="s">
        <v>2507</v>
      </c>
      <c r="N328" s="5" t="s">
        <v>1739</v>
      </c>
    </row>
    <row r="329" customFormat="false" ht="162.65" hidden="false" customHeight="false" outlineLevel="0" collapsed="false">
      <c r="A329" s="5" t="s">
        <v>2508</v>
      </c>
      <c r="B329" s="5" t="s">
        <v>46</v>
      </c>
      <c r="C329" s="5" t="s">
        <v>79</v>
      </c>
      <c r="D329" s="16" t="n">
        <v>46267</v>
      </c>
      <c r="E329" s="5" t="s">
        <v>1702</v>
      </c>
      <c r="F329" s="5" t="n">
        <v>17</v>
      </c>
      <c r="G329" s="5" t="s">
        <v>385</v>
      </c>
      <c r="H329" s="5" t="s">
        <v>1755</v>
      </c>
      <c r="I329" s="5" t="s">
        <v>1756</v>
      </c>
      <c r="J329" s="5" t="n">
        <v>2026</v>
      </c>
      <c r="K329" s="5" t="s">
        <v>1757</v>
      </c>
      <c r="L329" s="5" t="s">
        <v>1758</v>
      </c>
      <c r="M329" s="5" t="s">
        <v>2509</v>
      </c>
      <c r="N329" s="5" t="s">
        <v>1759</v>
      </c>
    </row>
    <row r="330" customFormat="false" ht="202.95" hidden="false" customHeight="false" outlineLevel="0" collapsed="false">
      <c r="A330" s="5" t="s">
        <v>2510</v>
      </c>
      <c r="B330" s="5" t="s">
        <v>46</v>
      </c>
      <c r="C330" s="5" t="s">
        <v>79</v>
      </c>
      <c r="D330" s="16" t="n">
        <v>46267</v>
      </c>
      <c r="E330" s="5" t="s">
        <v>1702</v>
      </c>
      <c r="F330" s="5" t="n">
        <v>18</v>
      </c>
      <c r="G330" s="5" t="s">
        <v>385</v>
      </c>
      <c r="H330" s="5" t="s">
        <v>1905</v>
      </c>
      <c r="I330" s="5" t="s">
        <v>1906</v>
      </c>
      <c r="J330" s="5" t="n">
        <v>2026</v>
      </c>
      <c r="K330" s="5" t="s">
        <v>732</v>
      </c>
      <c r="L330" s="5" t="s">
        <v>1907</v>
      </c>
      <c r="M330" s="5" t="s">
        <v>2511</v>
      </c>
      <c r="N330" s="5" t="s">
        <v>1908</v>
      </c>
    </row>
    <row r="331" customFormat="false" ht="176.1" hidden="false" customHeight="false" outlineLevel="0" collapsed="false">
      <c r="A331" s="5" t="s">
        <v>2512</v>
      </c>
      <c r="B331" s="5" t="s">
        <v>46</v>
      </c>
      <c r="C331" s="5" t="s">
        <v>79</v>
      </c>
      <c r="D331" s="16" t="n">
        <v>46267</v>
      </c>
      <c r="E331" s="5" t="s">
        <v>1702</v>
      </c>
      <c r="F331" s="5" t="n">
        <v>19</v>
      </c>
      <c r="G331" s="5" t="s">
        <v>385</v>
      </c>
      <c r="H331" s="5" t="s">
        <v>869</v>
      </c>
      <c r="I331" s="5" t="s">
        <v>870</v>
      </c>
      <c r="J331" s="5" t="n">
        <v>2025</v>
      </c>
      <c r="K331" s="5" t="s">
        <v>855</v>
      </c>
      <c r="L331" s="5" t="s">
        <v>871</v>
      </c>
      <c r="M331" s="5" t="s">
        <v>2513</v>
      </c>
      <c r="N331" s="5" t="s">
        <v>872</v>
      </c>
    </row>
    <row r="332" customFormat="false" ht="202.95" hidden="false" customHeight="false" outlineLevel="0" collapsed="false">
      <c r="A332" s="5" t="s">
        <v>2514</v>
      </c>
      <c r="B332" s="5" t="s">
        <v>46</v>
      </c>
      <c r="C332" s="5" t="s">
        <v>81</v>
      </c>
      <c r="D332" s="16" t="n">
        <v>46267</v>
      </c>
      <c r="E332" s="5" t="s">
        <v>1797</v>
      </c>
      <c r="F332" s="5" t="n">
        <v>1</v>
      </c>
      <c r="G332" s="5" t="s">
        <v>385</v>
      </c>
      <c r="H332" s="5" t="s">
        <v>288</v>
      </c>
      <c r="I332" s="5" t="s">
        <v>289</v>
      </c>
      <c r="J332" s="5" t="n">
        <v>2025</v>
      </c>
      <c r="K332" s="5" t="s">
        <v>276</v>
      </c>
      <c r="L332" s="5" t="s">
        <v>290</v>
      </c>
      <c r="M332" s="5" t="s">
        <v>2471</v>
      </c>
      <c r="N332" s="5" t="s">
        <v>1884</v>
      </c>
    </row>
    <row r="333" customFormat="false" ht="162.65" hidden="false" customHeight="false" outlineLevel="0" collapsed="false">
      <c r="A333" s="5" t="s">
        <v>2515</v>
      </c>
      <c r="B333" s="5" t="s">
        <v>46</v>
      </c>
      <c r="C333" s="5" t="s">
        <v>81</v>
      </c>
      <c r="D333" s="16" t="n">
        <v>46267</v>
      </c>
      <c r="E333" s="5" t="s">
        <v>1797</v>
      </c>
      <c r="F333" s="5" t="n">
        <v>2</v>
      </c>
      <c r="G333" s="5" t="s">
        <v>385</v>
      </c>
      <c r="H333" s="5" t="s">
        <v>2473</v>
      </c>
      <c r="I333" s="5" t="s">
        <v>2474</v>
      </c>
      <c r="J333" s="5" t="n">
        <v>2026</v>
      </c>
      <c r="K333" s="5" t="s">
        <v>2475</v>
      </c>
      <c r="L333" s="5" t="s">
        <v>1815</v>
      </c>
      <c r="M333" s="5" t="s">
        <v>2476</v>
      </c>
      <c r="N333" s="5" t="s">
        <v>1819</v>
      </c>
    </row>
    <row r="334" customFormat="false" ht="189.55" hidden="false" customHeight="false" outlineLevel="0" collapsed="false">
      <c r="A334" s="5" t="s">
        <v>2516</v>
      </c>
      <c r="B334" s="5" t="s">
        <v>46</v>
      </c>
      <c r="C334" s="5" t="s">
        <v>81</v>
      </c>
      <c r="D334" s="16" t="n">
        <v>46267</v>
      </c>
      <c r="E334" s="5" t="s">
        <v>1797</v>
      </c>
      <c r="F334" s="5" t="n">
        <v>3</v>
      </c>
      <c r="G334" s="5" t="s">
        <v>385</v>
      </c>
      <c r="H334" s="5" t="s">
        <v>1510</v>
      </c>
      <c r="I334" s="5" t="s">
        <v>1511</v>
      </c>
      <c r="J334" s="5" t="n">
        <v>2026</v>
      </c>
      <c r="K334" s="5" t="s">
        <v>276</v>
      </c>
      <c r="L334" s="5" t="s">
        <v>1512</v>
      </c>
      <c r="M334" s="5" t="s">
        <v>2344</v>
      </c>
      <c r="N334" s="5" t="s">
        <v>1514</v>
      </c>
    </row>
    <row r="335" customFormat="false" ht="229.85" hidden="false" customHeight="false" outlineLevel="0" collapsed="false">
      <c r="A335" s="5" t="s">
        <v>2517</v>
      </c>
      <c r="B335" s="5" t="s">
        <v>46</v>
      </c>
      <c r="C335" s="5" t="s">
        <v>81</v>
      </c>
      <c r="D335" s="16" t="n">
        <v>46267</v>
      </c>
      <c r="E335" s="5" t="s">
        <v>1797</v>
      </c>
      <c r="F335" s="5" t="n">
        <v>4</v>
      </c>
      <c r="G335" s="5" t="s">
        <v>385</v>
      </c>
      <c r="H335" s="5" t="s">
        <v>1717</v>
      </c>
      <c r="I335" s="5" t="s">
        <v>1718</v>
      </c>
      <c r="J335" s="5" t="n">
        <v>2026</v>
      </c>
      <c r="K335" s="5" t="s">
        <v>1719</v>
      </c>
      <c r="L335" s="5" t="s">
        <v>1720</v>
      </c>
      <c r="M335" s="5" t="s">
        <v>2489</v>
      </c>
      <c r="N335" s="5" t="s">
        <v>1721</v>
      </c>
    </row>
    <row r="336" customFormat="false" ht="189.55" hidden="false" customHeight="false" outlineLevel="0" collapsed="false">
      <c r="A336" s="5" t="s">
        <v>2518</v>
      </c>
      <c r="B336" s="5" t="s">
        <v>46</v>
      </c>
      <c r="C336" s="5" t="s">
        <v>81</v>
      </c>
      <c r="D336" s="16" t="n">
        <v>46267</v>
      </c>
      <c r="E336" s="5" t="s">
        <v>1797</v>
      </c>
      <c r="F336" s="5" t="n">
        <v>5</v>
      </c>
      <c r="G336" s="5" t="s">
        <v>385</v>
      </c>
      <c r="H336" s="5" t="s">
        <v>424</v>
      </c>
      <c r="I336" s="5" t="s">
        <v>425</v>
      </c>
      <c r="J336" s="5" t="n">
        <v>2025</v>
      </c>
      <c r="K336" s="5" t="s">
        <v>276</v>
      </c>
      <c r="L336" s="5" t="s">
        <v>426</v>
      </c>
      <c r="M336" s="5" t="s">
        <v>2359</v>
      </c>
      <c r="N336" s="5" t="s">
        <v>430</v>
      </c>
    </row>
    <row r="337" customFormat="false" ht="216.4" hidden="false" customHeight="false" outlineLevel="0" collapsed="false">
      <c r="A337" s="5" t="s">
        <v>2519</v>
      </c>
      <c r="B337" s="5" t="s">
        <v>46</v>
      </c>
      <c r="C337" s="5" t="s">
        <v>81</v>
      </c>
      <c r="D337" s="16" t="n">
        <v>46267</v>
      </c>
      <c r="E337" s="5" t="s">
        <v>1797</v>
      </c>
      <c r="F337" s="5" t="n">
        <v>6</v>
      </c>
      <c r="G337" s="5" t="s">
        <v>385</v>
      </c>
      <c r="H337" s="5" t="s">
        <v>279</v>
      </c>
      <c r="I337" s="5" t="s">
        <v>280</v>
      </c>
      <c r="J337" s="5" t="n">
        <v>2025</v>
      </c>
      <c r="K337" s="5" t="s">
        <v>223</v>
      </c>
      <c r="L337" s="5" t="s">
        <v>281</v>
      </c>
      <c r="M337" s="5" t="s">
        <v>2501</v>
      </c>
      <c r="N337" s="5" t="s">
        <v>1071</v>
      </c>
    </row>
    <row r="338" customFormat="false" ht="243.25" hidden="false" customHeight="false" outlineLevel="0" collapsed="false">
      <c r="A338" s="5" t="s">
        <v>2520</v>
      </c>
      <c r="B338" s="5" t="s">
        <v>46</v>
      </c>
      <c r="C338" s="5" t="s">
        <v>81</v>
      </c>
      <c r="D338" s="16" t="n">
        <v>46267</v>
      </c>
      <c r="E338" s="5" t="s">
        <v>1797</v>
      </c>
      <c r="F338" s="5" t="n">
        <v>7</v>
      </c>
      <c r="G338" s="5" t="s">
        <v>385</v>
      </c>
      <c r="H338" s="5" t="s">
        <v>274</v>
      </c>
      <c r="I338" s="5" t="s">
        <v>275</v>
      </c>
      <c r="J338" s="5" t="n">
        <v>2025</v>
      </c>
      <c r="K338" s="5" t="s">
        <v>276</v>
      </c>
      <c r="L338" s="5" t="s">
        <v>277</v>
      </c>
      <c r="M338" s="5" t="s">
        <v>2503</v>
      </c>
      <c r="N338" s="5" t="s">
        <v>989</v>
      </c>
    </row>
    <row r="339" customFormat="false" ht="216.4" hidden="false" customHeight="false" outlineLevel="0" collapsed="false">
      <c r="A339" s="5" t="s">
        <v>2521</v>
      </c>
      <c r="B339" s="5" t="s">
        <v>46</v>
      </c>
      <c r="C339" s="5" t="s">
        <v>81</v>
      </c>
      <c r="D339" s="16" t="n">
        <v>46267</v>
      </c>
      <c r="E339" s="5" t="s">
        <v>1797</v>
      </c>
      <c r="F339" s="5" t="n">
        <v>8</v>
      </c>
      <c r="G339" s="5" t="s">
        <v>385</v>
      </c>
      <c r="H339" s="5" t="s">
        <v>1184</v>
      </c>
      <c r="I339" s="5" t="s">
        <v>1185</v>
      </c>
      <c r="J339" s="5" t="n">
        <v>2025</v>
      </c>
      <c r="K339" s="5" t="s">
        <v>276</v>
      </c>
      <c r="L339" s="5" t="s">
        <v>1186</v>
      </c>
      <c r="M339" s="5" t="s">
        <v>2522</v>
      </c>
      <c r="N339" s="5" t="s">
        <v>1187</v>
      </c>
    </row>
    <row r="340" customFormat="false" ht="216.4" hidden="false" customHeight="false" outlineLevel="0" collapsed="false">
      <c r="A340" s="5" t="s">
        <v>2523</v>
      </c>
      <c r="B340" s="5" t="s">
        <v>46</v>
      </c>
      <c r="C340" s="5" t="s">
        <v>81</v>
      </c>
      <c r="D340" s="16" t="n">
        <v>46267</v>
      </c>
      <c r="E340" s="5" t="s">
        <v>1797</v>
      </c>
      <c r="F340" s="5" t="n">
        <v>9</v>
      </c>
      <c r="G340" s="5" t="s">
        <v>385</v>
      </c>
      <c r="H340" s="5" t="s">
        <v>299</v>
      </c>
      <c r="I340" s="5" t="s">
        <v>300</v>
      </c>
      <c r="J340" s="5" t="n">
        <v>2026</v>
      </c>
      <c r="K340" s="5" t="s">
        <v>204</v>
      </c>
      <c r="L340" s="5" t="s">
        <v>301</v>
      </c>
      <c r="M340" s="5" t="s">
        <v>2524</v>
      </c>
      <c r="N340" s="5" t="s">
        <v>1798</v>
      </c>
    </row>
    <row r="341" customFormat="false" ht="297" hidden="false" customHeight="false" outlineLevel="0" collapsed="false">
      <c r="A341" s="5" t="s">
        <v>2525</v>
      </c>
      <c r="B341" s="5" t="s">
        <v>46</v>
      </c>
      <c r="C341" s="5" t="s">
        <v>81</v>
      </c>
      <c r="D341" s="16" t="n">
        <v>46267</v>
      </c>
      <c r="E341" s="5" t="s">
        <v>1797</v>
      </c>
      <c r="F341" s="5" t="n">
        <v>10</v>
      </c>
      <c r="G341" s="5" t="s">
        <v>385</v>
      </c>
      <c r="H341" s="5" t="s">
        <v>526</v>
      </c>
      <c r="I341" s="5" t="s">
        <v>527</v>
      </c>
      <c r="J341" s="5" t="n">
        <v>2025</v>
      </c>
      <c r="K341" s="5" t="s">
        <v>453</v>
      </c>
      <c r="L341" s="5" t="s">
        <v>528</v>
      </c>
      <c r="M341" s="5" t="s">
        <v>2505</v>
      </c>
      <c r="N341" s="5" t="s">
        <v>529</v>
      </c>
    </row>
    <row r="342" customFormat="false" ht="162.65" hidden="false" customHeight="false" outlineLevel="0" collapsed="false">
      <c r="A342" s="5" t="s">
        <v>2526</v>
      </c>
      <c r="B342" s="5" t="s">
        <v>46</v>
      </c>
      <c r="C342" s="5" t="s">
        <v>81</v>
      </c>
      <c r="D342" s="16" t="n">
        <v>46267</v>
      </c>
      <c r="E342" s="5" t="s">
        <v>1797</v>
      </c>
      <c r="F342" s="5" t="n">
        <v>11</v>
      </c>
      <c r="G342" s="5" t="s">
        <v>385</v>
      </c>
      <c r="H342" s="5" t="s">
        <v>1734</v>
      </c>
      <c r="I342" s="5" t="s">
        <v>1735</v>
      </c>
      <c r="J342" s="5" t="n">
        <v>2026</v>
      </c>
      <c r="K342" s="5" t="s">
        <v>732</v>
      </c>
      <c r="L342" s="5" t="s">
        <v>1736</v>
      </c>
      <c r="M342" s="5" t="s">
        <v>2507</v>
      </c>
      <c r="N342" s="5" t="s">
        <v>1739</v>
      </c>
    </row>
    <row r="343" customFormat="false" ht="323.85" hidden="false" customHeight="false" outlineLevel="0" collapsed="false">
      <c r="A343" s="5" t="s">
        <v>2527</v>
      </c>
      <c r="B343" s="5" t="s">
        <v>46</v>
      </c>
      <c r="C343" s="5" t="s">
        <v>81</v>
      </c>
      <c r="D343" s="16" t="n">
        <v>46267</v>
      </c>
      <c r="E343" s="5" t="s">
        <v>1797</v>
      </c>
      <c r="F343" s="5" t="n">
        <v>12</v>
      </c>
      <c r="G343" s="5" t="s">
        <v>385</v>
      </c>
      <c r="H343" s="5" t="s">
        <v>1728</v>
      </c>
      <c r="I343" s="5" t="s">
        <v>2528</v>
      </c>
      <c r="J343" s="5" t="n">
        <v>2026</v>
      </c>
      <c r="K343" s="5" t="s">
        <v>276</v>
      </c>
      <c r="L343" s="5" t="s">
        <v>1730</v>
      </c>
      <c r="M343" s="5" t="s">
        <v>2529</v>
      </c>
      <c r="N343" s="5" t="s">
        <v>2530</v>
      </c>
    </row>
    <row r="344" customFormat="false" ht="270.1" hidden="false" customHeight="false" outlineLevel="0" collapsed="false">
      <c r="A344" s="5" t="s">
        <v>2531</v>
      </c>
      <c r="B344" s="5" t="s">
        <v>46</v>
      </c>
      <c r="C344" s="5" t="s">
        <v>81</v>
      </c>
      <c r="D344" s="16" t="n">
        <v>46267</v>
      </c>
      <c r="E344" s="5" t="s">
        <v>1797</v>
      </c>
      <c r="F344" s="5" t="n">
        <v>13</v>
      </c>
      <c r="G344" s="5" t="s">
        <v>385</v>
      </c>
      <c r="H344" s="5" t="s">
        <v>1865</v>
      </c>
      <c r="I344" s="5" t="s">
        <v>1866</v>
      </c>
      <c r="J344" s="5" t="n">
        <v>2026</v>
      </c>
      <c r="K344" s="5" t="s">
        <v>276</v>
      </c>
      <c r="L344" s="5" t="s">
        <v>1867</v>
      </c>
      <c r="M344" s="5" t="s">
        <v>2532</v>
      </c>
      <c r="N344" s="5" t="s">
        <v>1869</v>
      </c>
    </row>
    <row r="345" customFormat="false" ht="270.1" hidden="false" customHeight="false" outlineLevel="0" collapsed="false">
      <c r="A345" s="5" t="s">
        <v>2533</v>
      </c>
      <c r="B345" s="5" t="s">
        <v>46</v>
      </c>
      <c r="C345" s="5" t="s">
        <v>81</v>
      </c>
      <c r="D345" s="16" t="n">
        <v>46267</v>
      </c>
      <c r="E345" s="5" t="s">
        <v>1797</v>
      </c>
      <c r="F345" s="5" t="n">
        <v>14</v>
      </c>
      <c r="G345" s="5" t="s">
        <v>385</v>
      </c>
      <c r="H345" s="5" t="s">
        <v>1037</v>
      </c>
      <c r="I345" s="5" t="s">
        <v>1038</v>
      </c>
      <c r="J345" s="5" t="n">
        <v>2025</v>
      </c>
      <c r="K345" s="5" t="s">
        <v>276</v>
      </c>
      <c r="L345" s="5" t="s">
        <v>1039</v>
      </c>
      <c r="M345" s="5" t="s">
        <v>2534</v>
      </c>
      <c r="N345" s="5" t="s">
        <v>1040</v>
      </c>
    </row>
    <row r="346" customFormat="false" ht="202.95" hidden="false" customHeight="false" outlineLevel="0" collapsed="false">
      <c r="A346" s="5" t="s">
        <v>2535</v>
      </c>
      <c r="B346" s="5" t="s">
        <v>46</v>
      </c>
      <c r="C346" s="5" t="s">
        <v>81</v>
      </c>
      <c r="D346" s="16" t="n">
        <v>46267</v>
      </c>
      <c r="E346" s="5" t="s">
        <v>1797</v>
      </c>
      <c r="F346" s="5" t="n">
        <v>15</v>
      </c>
      <c r="G346" s="5" t="s">
        <v>385</v>
      </c>
      <c r="H346" s="5" t="s">
        <v>1905</v>
      </c>
      <c r="I346" s="5" t="s">
        <v>1906</v>
      </c>
      <c r="J346" s="5" t="n">
        <v>2026</v>
      </c>
      <c r="K346" s="5" t="s">
        <v>732</v>
      </c>
      <c r="L346" s="5" t="s">
        <v>1907</v>
      </c>
      <c r="M346" s="5" t="s">
        <v>2511</v>
      </c>
      <c r="N346" s="5" t="s">
        <v>1908</v>
      </c>
    </row>
    <row r="347" customFormat="false" ht="176.1" hidden="false" customHeight="false" outlineLevel="0" collapsed="false">
      <c r="A347" s="5" t="s">
        <v>2536</v>
      </c>
      <c r="B347" s="5" t="s">
        <v>46</v>
      </c>
      <c r="C347" s="5" t="s">
        <v>81</v>
      </c>
      <c r="D347" s="16" t="n">
        <v>46267</v>
      </c>
      <c r="E347" s="5" t="s">
        <v>1797</v>
      </c>
      <c r="F347" s="5" t="n">
        <v>16</v>
      </c>
      <c r="G347" s="5" t="s">
        <v>385</v>
      </c>
      <c r="H347" s="5" t="s">
        <v>869</v>
      </c>
      <c r="I347" s="5" t="s">
        <v>870</v>
      </c>
      <c r="J347" s="5" t="n">
        <v>2025</v>
      </c>
      <c r="K347" s="5" t="s">
        <v>855</v>
      </c>
      <c r="L347" s="5" t="s">
        <v>871</v>
      </c>
      <c r="M347" s="5" t="s">
        <v>2513</v>
      </c>
      <c r="N347" s="5" t="s">
        <v>872</v>
      </c>
    </row>
    <row r="348" customFormat="false" ht="216.4" hidden="false" customHeight="false" outlineLevel="0" collapsed="false">
      <c r="A348" s="5" t="s">
        <v>2537</v>
      </c>
      <c r="B348" s="5" t="s">
        <v>46</v>
      </c>
      <c r="C348" s="5" t="s">
        <v>73</v>
      </c>
      <c r="D348" s="16" t="n">
        <v>46267</v>
      </c>
      <c r="E348" s="5" t="s">
        <v>2538</v>
      </c>
      <c r="F348" s="5" t="n">
        <v>1</v>
      </c>
      <c r="G348" s="5" t="s">
        <v>385</v>
      </c>
      <c r="H348" s="5" t="s">
        <v>1821</v>
      </c>
      <c r="I348" s="5" t="s">
        <v>1822</v>
      </c>
      <c r="J348" s="5" t="n">
        <v>2025</v>
      </c>
      <c r="K348" s="5" t="s">
        <v>1087</v>
      </c>
      <c r="L348" s="5" t="s">
        <v>1823</v>
      </c>
      <c r="M348" s="5" t="s">
        <v>2539</v>
      </c>
      <c r="N348" s="5" t="s">
        <v>1824</v>
      </c>
    </row>
    <row r="349" customFormat="false" ht="458.2" hidden="false" customHeight="false" outlineLevel="0" collapsed="false">
      <c r="A349" s="5" t="s">
        <v>2540</v>
      </c>
      <c r="B349" s="5" t="s">
        <v>46</v>
      </c>
      <c r="C349" s="5" t="s">
        <v>73</v>
      </c>
      <c r="D349" s="16" t="n">
        <v>46267</v>
      </c>
      <c r="E349" s="5" t="s">
        <v>2538</v>
      </c>
      <c r="F349" s="5" t="n">
        <v>2</v>
      </c>
      <c r="G349" s="5" t="s">
        <v>385</v>
      </c>
      <c r="H349" s="5" t="s">
        <v>1850</v>
      </c>
      <c r="I349" s="5" t="s">
        <v>1851</v>
      </c>
      <c r="J349" s="5" t="n">
        <v>2025</v>
      </c>
      <c r="K349" s="5" t="s">
        <v>1852</v>
      </c>
      <c r="L349" s="5" t="s">
        <v>1853</v>
      </c>
      <c r="M349" s="5" t="s">
        <v>2541</v>
      </c>
      <c r="N349" s="5" t="s">
        <v>1854</v>
      </c>
    </row>
    <row r="350" customFormat="false" ht="216.4" hidden="false" customHeight="false" outlineLevel="0" collapsed="false">
      <c r="A350" s="5" t="s">
        <v>2542</v>
      </c>
      <c r="B350" s="5" t="s">
        <v>46</v>
      </c>
      <c r="C350" s="5" t="s">
        <v>73</v>
      </c>
      <c r="D350" s="16" t="n">
        <v>46267</v>
      </c>
      <c r="E350" s="5" t="s">
        <v>2538</v>
      </c>
      <c r="F350" s="5" t="n">
        <v>3</v>
      </c>
      <c r="G350" s="5" t="s">
        <v>385</v>
      </c>
      <c r="H350" s="5" t="s">
        <v>1777</v>
      </c>
      <c r="I350" s="5" t="s">
        <v>1778</v>
      </c>
      <c r="J350" s="5" t="n">
        <v>2026</v>
      </c>
      <c r="K350" s="5" t="s">
        <v>1779</v>
      </c>
      <c r="L350" s="5" t="s">
        <v>1780</v>
      </c>
      <c r="M350" s="5" t="s">
        <v>2543</v>
      </c>
      <c r="N350" s="5" t="s">
        <v>1781</v>
      </c>
    </row>
    <row r="351" customFormat="false" ht="256.7" hidden="false" customHeight="false" outlineLevel="0" collapsed="false">
      <c r="A351" s="5" t="s">
        <v>2544</v>
      </c>
      <c r="B351" s="5" t="s">
        <v>46</v>
      </c>
      <c r="C351" s="5" t="s">
        <v>73</v>
      </c>
      <c r="D351" s="16" t="n">
        <v>46267</v>
      </c>
      <c r="E351" s="5" t="s">
        <v>2538</v>
      </c>
      <c r="F351" s="5" t="n">
        <v>4</v>
      </c>
      <c r="G351" s="5" t="s">
        <v>385</v>
      </c>
      <c r="H351" s="5" t="s">
        <v>1174</v>
      </c>
      <c r="I351" s="5" t="s">
        <v>1175</v>
      </c>
      <c r="J351" s="5" t="n">
        <v>2026</v>
      </c>
      <c r="K351" s="5" t="s">
        <v>228</v>
      </c>
      <c r="L351" s="5" t="s">
        <v>1176</v>
      </c>
      <c r="M351" s="5" t="s">
        <v>2545</v>
      </c>
      <c r="N351" s="5" t="s">
        <v>1177</v>
      </c>
    </row>
    <row r="352" customFormat="false" ht="162.65" hidden="false" customHeight="false" outlineLevel="0" collapsed="false">
      <c r="A352" s="5" t="s">
        <v>2546</v>
      </c>
      <c r="B352" s="5" t="s">
        <v>46</v>
      </c>
      <c r="C352" s="5" t="s">
        <v>73</v>
      </c>
      <c r="D352" s="16" t="n">
        <v>46267</v>
      </c>
      <c r="E352" s="5" t="s">
        <v>2538</v>
      </c>
      <c r="F352" s="5" t="n">
        <v>5</v>
      </c>
      <c r="G352" s="5" t="s">
        <v>385</v>
      </c>
      <c r="H352" s="5" t="s">
        <v>413</v>
      </c>
      <c r="I352" s="5" t="s">
        <v>414</v>
      </c>
      <c r="J352" s="5" t="n">
        <v>2026</v>
      </c>
      <c r="K352" s="5" t="s">
        <v>228</v>
      </c>
      <c r="L352" s="5" t="s">
        <v>415</v>
      </c>
      <c r="M352" s="5" t="s">
        <v>2547</v>
      </c>
      <c r="N352" s="5" t="s">
        <v>416</v>
      </c>
    </row>
    <row r="353" customFormat="false" ht="135.8" hidden="false" customHeight="false" outlineLevel="0" collapsed="false">
      <c r="A353" s="5" t="s">
        <v>2548</v>
      </c>
      <c r="B353" s="5" t="s">
        <v>46</v>
      </c>
      <c r="C353" s="5" t="s">
        <v>73</v>
      </c>
      <c r="D353" s="16" t="n">
        <v>46267</v>
      </c>
      <c r="E353" s="5" t="s">
        <v>2538</v>
      </c>
      <c r="F353" s="5" t="n">
        <v>6</v>
      </c>
      <c r="G353" s="5" t="s">
        <v>385</v>
      </c>
      <c r="H353" s="5" t="s">
        <v>1761</v>
      </c>
      <c r="I353" s="5" t="s">
        <v>1762</v>
      </c>
      <c r="J353" s="5" t="n">
        <v>2025</v>
      </c>
      <c r="K353" s="5" t="s">
        <v>228</v>
      </c>
      <c r="L353" s="5" t="s">
        <v>1763</v>
      </c>
      <c r="M353" s="5" t="s">
        <v>2549</v>
      </c>
      <c r="N353" s="5" t="s">
        <v>1764</v>
      </c>
    </row>
    <row r="354" customFormat="false" ht="216.4" hidden="false" customHeight="false" outlineLevel="0" collapsed="false">
      <c r="A354" s="5" t="s">
        <v>2550</v>
      </c>
      <c r="B354" s="5" t="s">
        <v>46</v>
      </c>
      <c r="C354" s="5" t="s">
        <v>73</v>
      </c>
      <c r="D354" s="16" t="n">
        <v>46267</v>
      </c>
      <c r="E354" s="5" t="s">
        <v>2538</v>
      </c>
      <c r="F354" s="5" t="n">
        <v>7</v>
      </c>
      <c r="G354" s="5" t="s">
        <v>385</v>
      </c>
      <c r="H354" s="5" t="s">
        <v>1826</v>
      </c>
      <c r="I354" s="5" t="s">
        <v>1827</v>
      </c>
      <c r="J354" s="5" t="n">
        <v>2025</v>
      </c>
      <c r="K354" s="5" t="s">
        <v>809</v>
      </c>
      <c r="L354" s="5" t="s">
        <v>1828</v>
      </c>
      <c r="M354" s="5" t="s">
        <v>2551</v>
      </c>
      <c r="N354" s="5" t="s">
        <v>1829</v>
      </c>
    </row>
    <row r="355" customFormat="false" ht="189.55" hidden="false" customHeight="false" outlineLevel="0" collapsed="false">
      <c r="A355" s="5" t="s">
        <v>2552</v>
      </c>
      <c r="B355" s="5" t="s">
        <v>46</v>
      </c>
      <c r="C355" s="5" t="s">
        <v>73</v>
      </c>
      <c r="D355" s="16" t="n">
        <v>46267</v>
      </c>
      <c r="E355" s="5" t="s">
        <v>2538</v>
      </c>
      <c r="F355" s="5" t="n">
        <v>8</v>
      </c>
      <c r="G355" s="5" t="s">
        <v>385</v>
      </c>
      <c r="H355" s="5" t="s">
        <v>1723</v>
      </c>
      <c r="I355" s="5" t="s">
        <v>1724</v>
      </c>
      <c r="J355" s="5" t="n">
        <v>2025</v>
      </c>
      <c r="K355" s="5" t="s">
        <v>1695</v>
      </c>
      <c r="L355" s="5" t="s">
        <v>1725</v>
      </c>
      <c r="M355" s="5" t="s">
        <v>2553</v>
      </c>
      <c r="N355" s="5" t="s">
        <v>1726</v>
      </c>
    </row>
    <row r="356" customFormat="false" ht="202.95" hidden="false" customHeight="false" outlineLevel="0" collapsed="false">
      <c r="A356" s="5" t="s">
        <v>2554</v>
      </c>
      <c r="B356" s="5" t="s">
        <v>46</v>
      </c>
      <c r="C356" s="5" t="s">
        <v>73</v>
      </c>
      <c r="D356" s="16" t="n">
        <v>46267</v>
      </c>
      <c r="E356" s="5" t="s">
        <v>2538</v>
      </c>
      <c r="F356" s="5" t="n">
        <v>9</v>
      </c>
      <c r="G356" s="5" t="s">
        <v>385</v>
      </c>
      <c r="H356" s="5" t="s">
        <v>1790</v>
      </c>
      <c r="I356" s="5" t="s">
        <v>1791</v>
      </c>
      <c r="J356" s="5" t="n">
        <v>2026</v>
      </c>
      <c r="K356" s="5" t="s">
        <v>1792</v>
      </c>
      <c r="L356" s="5" t="s">
        <v>1793</v>
      </c>
      <c r="M356" s="5" t="s">
        <v>2555</v>
      </c>
      <c r="N356" s="5" t="s">
        <v>1794</v>
      </c>
    </row>
    <row r="357" customFormat="false" ht="189.55" hidden="false" customHeight="false" outlineLevel="0" collapsed="false">
      <c r="A357" s="5" t="s">
        <v>2556</v>
      </c>
      <c r="B357" s="5" t="s">
        <v>46</v>
      </c>
      <c r="C357" s="5" t="s">
        <v>73</v>
      </c>
      <c r="D357" s="16" t="n">
        <v>46267</v>
      </c>
      <c r="E357" s="5" t="s">
        <v>2538</v>
      </c>
      <c r="F357" s="5" t="n">
        <v>10</v>
      </c>
      <c r="G357" s="5" t="s">
        <v>385</v>
      </c>
      <c r="H357" s="5" t="s">
        <v>1801</v>
      </c>
      <c r="I357" s="5" t="s">
        <v>1802</v>
      </c>
      <c r="J357" s="5" t="n">
        <v>2026</v>
      </c>
      <c r="K357" s="5" t="s">
        <v>1803</v>
      </c>
      <c r="L357" s="5" t="s">
        <v>1804</v>
      </c>
      <c r="M357" s="5" t="s">
        <v>2557</v>
      </c>
      <c r="N357" s="5" t="s">
        <v>1805</v>
      </c>
    </row>
    <row r="358" customFormat="false" ht="176.1" hidden="false" customHeight="false" outlineLevel="0" collapsed="false">
      <c r="A358" s="5" t="s">
        <v>2558</v>
      </c>
      <c r="B358" s="5" t="s">
        <v>46</v>
      </c>
      <c r="C358" s="5" t="s">
        <v>73</v>
      </c>
      <c r="D358" s="16" t="n">
        <v>46267</v>
      </c>
      <c r="E358" s="5" t="s">
        <v>2538</v>
      </c>
      <c r="F358" s="5" t="n">
        <v>11</v>
      </c>
      <c r="G358" s="5" t="s">
        <v>385</v>
      </c>
      <c r="H358" s="5" t="s">
        <v>1693</v>
      </c>
      <c r="I358" s="5" t="s">
        <v>1694</v>
      </c>
      <c r="J358" s="5" t="n">
        <v>2026</v>
      </c>
      <c r="K358" s="5" t="s">
        <v>1695</v>
      </c>
      <c r="L358" s="5" t="s">
        <v>1696</v>
      </c>
      <c r="M358" s="5" t="s">
        <v>2559</v>
      </c>
      <c r="N358" s="5" t="s">
        <v>1697</v>
      </c>
    </row>
    <row r="359" customFormat="false" ht="216.4" hidden="false" customHeight="false" outlineLevel="0" collapsed="false">
      <c r="A359" s="5" t="s">
        <v>2560</v>
      </c>
      <c r="B359" s="5" t="s">
        <v>46</v>
      </c>
      <c r="C359" s="5" t="s">
        <v>73</v>
      </c>
      <c r="D359" s="16" t="n">
        <v>46267</v>
      </c>
      <c r="E359" s="5" t="s">
        <v>2538</v>
      </c>
      <c r="F359" s="5" t="n">
        <v>12</v>
      </c>
      <c r="G359" s="5" t="s">
        <v>385</v>
      </c>
      <c r="H359" s="5" t="s">
        <v>1899</v>
      </c>
      <c r="I359" s="5" t="s">
        <v>1900</v>
      </c>
      <c r="J359" s="5" t="n">
        <v>2025</v>
      </c>
      <c r="K359" s="5" t="s">
        <v>228</v>
      </c>
      <c r="L359" s="5" t="s">
        <v>1901</v>
      </c>
      <c r="M359" s="5" t="s">
        <v>2561</v>
      </c>
      <c r="N359" s="5" t="s">
        <v>1902</v>
      </c>
    </row>
    <row r="360" customFormat="false" ht="243.25" hidden="false" customHeight="false" outlineLevel="0" collapsed="false">
      <c r="A360" s="5" t="s">
        <v>2562</v>
      </c>
      <c r="B360" s="5" t="s">
        <v>46</v>
      </c>
      <c r="C360" s="5" t="s">
        <v>73</v>
      </c>
      <c r="D360" s="16" t="n">
        <v>46267</v>
      </c>
      <c r="E360" s="5" t="s">
        <v>2538</v>
      </c>
      <c r="F360" s="5" t="n">
        <v>13</v>
      </c>
      <c r="G360" s="5" t="s">
        <v>385</v>
      </c>
      <c r="H360" s="5" t="s">
        <v>1766</v>
      </c>
      <c r="I360" s="5" t="s">
        <v>1767</v>
      </c>
      <c r="J360" s="5" t="n">
        <v>2026</v>
      </c>
      <c r="K360" s="5" t="s">
        <v>1768</v>
      </c>
      <c r="L360" s="5" t="s">
        <v>1769</v>
      </c>
      <c r="M360" s="5" t="s">
        <v>2563</v>
      </c>
      <c r="N360" s="5" t="s">
        <v>1770</v>
      </c>
    </row>
    <row r="361" customFormat="false" ht="202.95" hidden="false" customHeight="false" outlineLevel="0" collapsed="false">
      <c r="A361" s="5" t="s">
        <v>2564</v>
      </c>
      <c r="B361" s="5" t="s">
        <v>46</v>
      </c>
      <c r="C361" s="5" t="s">
        <v>73</v>
      </c>
      <c r="D361" s="16" t="n">
        <v>46267</v>
      </c>
      <c r="E361" s="5" t="s">
        <v>2538</v>
      </c>
      <c r="F361" s="5" t="n">
        <v>14</v>
      </c>
      <c r="G361" s="5" t="s">
        <v>385</v>
      </c>
      <c r="H361" s="5" t="s">
        <v>1857</v>
      </c>
      <c r="I361" s="5" t="s">
        <v>1858</v>
      </c>
      <c r="J361" s="5" t="n">
        <v>2025</v>
      </c>
      <c r="K361" s="5" t="s">
        <v>762</v>
      </c>
      <c r="L361" s="5" t="s">
        <v>1859</v>
      </c>
      <c r="M361" s="5" t="s">
        <v>2565</v>
      </c>
      <c r="N361" s="5" t="s">
        <v>1860</v>
      </c>
    </row>
    <row r="362" customFormat="false" ht="15" hidden="false" customHeight="false" outlineLevel="0" collapsed="false">
      <c r="A362" s="0" t="s">
        <v>2566</v>
      </c>
      <c r="B362" s="0" t="s">
        <v>46</v>
      </c>
      <c r="C362" s="0" t="s">
        <v>73</v>
      </c>
      <c r="D362" s="17" t="n">
        <v>46267</v>
      </c>
      <c r="E362" s="0" t="s">
        <v>2538</v>
      </c>
      <c r="F362" s="0" t="n">
        <v>15</v>
      </c>
      <c r="G362" s="0" t="s">
        <v>385</v>
      </c>
      <c r="H362" s="0" t="s">
        <v>687</v>
      </c>
      <c r="I362" s="0" t="s">
        <v>688</v>
      </c>
      <c r="J362" s="0" t="n">
        <v>2025</v>
      </c>
      <c r="K362" s="0" t="s">
        <v>228</v>
      </c>
      <c r="L362" s="0" t="s">
        <v>689</v>
      </c>
      <c r="M362" s="0" t="s">
        <v>2437</v>
      </c>
      <c r="N362" s="0" t="s">
        <v>690</v>
      </c>
    </row>
  </sheetData>
  <mergeCells count="1">
    <mergeCell ref="A1:N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9"/>
    <col collapsed="false" customWidth="true" hidden="false" outlineLevel="0" max="3" min="2" style="0" width="20"/>
    <col collapsed="false" customWidth="true" hidden="false" outlineLevel="0" max="4" min="4" style="0" width="15"/>
    <col collapsed="false" customWidth="true" hidden="false" outlineLevel="0" max="5" min="5" style="0" width="65"/>
  </cols>
  <sheetData>
    <row r="1" customFormat="false" ht="30" hidden="false" customHeight="true" outlineLevel="0" collapsed="false">
      <c r="A1" s="1" t="s">
        <v>2567</v>
      </c>
      <c r="B1" s="1"/>
      <c r="C1" s="1"/>
      <c r="D1" s="1"/>
      <c r="E1" s="1"/>
    </row>
    <row r="3" customFormat="false" ht="28.35" hidden="false" customHeight="false" outlineLevel="0" collapsed="false">
      <c r="A3" s="2" t="s">
        <v>52</v>
      </c>
      <c r="B3" s="2" t="s">
        <v>2568</v>
      </c>
      <c r="C3" s="2" t="s">
        <v>2569</v>
      </c>
      <c r="D3" s="2" t="s">
        <v>2570</v>
      </c>
      <c r="E3" s="2" t="s">
        <v>2571</v>
      </c>
    </row>
    <row r="4" customFormat="false" ht="15" hidden="false" customHeight="false" outlineLevel="0" collapsed="false">
      <c r="A4" s="4" t="s">
        <v>2572</v>
      </c>
      <c r="B4" s="4" t="n">
        <v>180</v>
      </c>
      <c r="C4" s="4" t="n">
        <f aca="false">'PRISMA Accounting'!B4</f>
        <v>180</v>
      </c>
      <c r="D4" s="24" t="str">
        <f aca="false">IF(B4=C4,"PASS","CHECK")</f>
        <v>PASS</v>
      </c>
      <c r="E4" s="4" t="s">
        <v>1342</v>
      </c>
    </row>
    <row r="5" customFormat="false" ht="15" hidden="false" customHeight="false" outlineLevel="0" collapsed="false">
      <c r="A5" s="4" t="s">
        <v>2573</v>
      </c>
      <c r="B5" s="4" t="n">
        <v>172</v>
      </c>
      <c r="C5" s="4" t="n">
        <f aca="false">'PRISMA Accounting'!E4</f>
        <v>172</v>
      </c>
      <c r="D5" s="24" t="str">
        <f aca="false">IF(B5=C5,"PASS","CHECK")</f>
        <v>PASS</v>
      </c>
      <c r="E5" s="4" t="s">
        <v>1342</v>
      </c>
    </row>
    <row r="6" customFormat="false" ht="15" hidden="false" customHeight="false" outlineLevel="0" collapsed="false">
      <c r="A6" s="4" t="s">
        <v>2574</v>
      </c>
      <c r="B6" s="4" t="n">
        <v>103</v>
      </c>
      <c r="C6" s="4" t="n">
        <f aca="false">'PRISMA Accounting'!B5</f>
        <v>103</v>
      </c>
      <c r="D6" s="24" t="str">
        <f aca="false">IF(B6=C6,"PASS","CHECK")</f>
        <v>PASS</v>
      </c>
      <c r="E6" s="4" t="s">
        <v>1342</v>
      </c>
    </row>
    <row r="7" customFormat="false" ht="15" hidden="false" customHeight="false" outlineLevel="0" collapsed="false">
      <c r="A7" s="4" t="s">
        <v>2575</v>
      </c>
      <c r="B7" s="4" t="n">
        <v>87</v>
      </c>
      <c r="C7" s="4" t="n">
        <f aca="false">87</f>
        <v>87</v>
      </c>
      <c r="D7" s="24" t="str">
        <f aca="false">IF(B7=C7,"PASS","CHECK")</f>
        <v>PASS</v>
      </c>
      <c r="E7" s="4" t="s">
        <v>1342</v>
      </c>
    </row>
    <row r="8" customFormat="false" ht="15" hidden="false" customHeight="false" outlineLevel="0" collapsed="false">
      <c r="A8" s="4" t="s">
        <v>2576</v>
      </c>
      <c r="B8" s="4" t="n">
        <v>59</v>
      </c>
      <c r="C8" s="4" t="n">
        <f aca="false">'PRISMA Accounting'!E5</f>
        <v>59</v>
      </c>
      <c r="D8" s="24" t="str">
        <f aca="false">IF(B8=C8,"PASS","CHECK")</f>
        <v>PASS</v>
      </c>
      <c r="E8" s="4" t="s">
        <v>2577</v>
      </c>
    </row>
    <row r="9" customFormat="false" ht="15" hidden="false" customHeight="false" outlineLevel="0" collapsed="false">
      <c r="A9" s="4" t="s">
        <v>2578</v>
      </c>
      <c r="B9" s="4" t="n">
        <v>76</v>
      </c>
      <c r="C9" s="4" t="n">
        <f aca="false">'PRISMA Accounting'!B6</f>
        <v>76</v>
      </c>
      <c r="D9" s="24" t="str">
        <f aca="false">IF(B9=C9,"PASS","CHECK")</f>
        <v>PASS</v>
      </c>
      <c r="E9" s="4" t="s">
        <v>1342</v>
      </c>
    </row>
    <row r="10" customFormat="false" ht="15" hidden="false" customHeight="false" outlineLevel="0" collapsed="false">
      <c r="A10" s="4" t="s">
        <v>2579</v>
      </c>
      <c r="B10" s="4" t="n">
        <v>59</v>
      </c>
      <c r="C10" s="4" t="n">
        <f aca="false">'PRISMA Accounting'!B6-'PRISMA Accounting'!C6</f>
        <v>59</v>
      </c>
      <c r="D10" s="24" t="str">
        <f aca="false">IF(B10=C10,"PASS","CHECK")</f>
        <v>PASS</v>
      </c>
      <c r="E10" s="4" t="s">
        <v>1342</v>
      </c>
    </row>
    <row r="11" customFormat="false" ht="15" hidden="false" customHeight="false" outlineLevel="0" collapsed="false">
      <c r="A11" s="4" t="s">
        <v>2580</v>
      </c>
      <c r="B11" s="4" t="n">
        <v>39</v>
      </c>
      <c r="C11" s="4" t="n">
        <f aca="false">'PRISMA Accounting'!E6</f>
        <v>39</v>
      </c>
      <c r="D11" s="24" t="str">
        <f aca="false">IF(B11=C11,"PASS","CHECK")</f>
        <v>PASS</v>
      </c>
      <c r="E11" s="4" t="s">
        <v>1342</v>
      </c>
    </row>
    <row r="12" customFormat="false" ht="15" hidden="false" customHeight="false" outlineLevel="0" collapsed="false">
      <c r="A12" s="4" t="s">
        <v>8</v>
      </c>
      <c r="B12" s="4" t="n">
        <v>17</v>
      </c>
      <c r="C12" s="4" t="n">
        <f aca="false">'PRISMA Accounting'!F7</f>
        <v>17</v>
      </c>
      <c r="D12" s="24" t="str">
        <f aca="false">IF(B12=C12,"PASS","CHECK")</f>
        <v>PASS</v>
      </c>
      <c r="E12" s="4" t="s">
        <v>2581</v>
      </c>
    </row>
    <row r="13" customFormat="false" ht="15" hidden="false" customHeight="false" outlineLevel="0" collapsed="false">
      <c r="A13" s="4" t="s">
        <v>9</v>
      </c>
      <c r="B13" s="4" t="n">
        <v>5</v>
      </c>
      <c r="C13" s="4" t="n">
        <f aca="false">'PRISMA Accounting'!B11</f>
        <v>5</v>
      </c>
      <c r="D13" s="24" t="str">
        <f aca="false">IF(B13=C13,"PASS","CHECK")</f>
        <v>PASS</v>
      </c>
      <c r="E13" s="4" t="s">
        <v>2582</v>
      </c>
    </row>
    <row r="14" customFormat="false" ht="15" hidden="false" customHeight="false" outlineLevel="0" collapsed="false">
      <c r="A14" s="4" t="s">
        <v>2583</v>
      </c>
      <c r="B14" s="4" t="n">
        <v>22</v>
      </c>
      <c r="C14" s="4" t="n">
        <f aca="false">'PRISMA Accounting'!B12</f>
        <v>22</v>
      </c>
      <c r="D14" s="24" t="str">
        <f aca="false">IF(B14=C14,"PASS","CHECK")</f>
        <v>PASS</v>
      </c>
      <c r="E14" s="4" t="s">
        <v>2584</v>
      </c>
    </row>
    <row r="15" customFormat="false" ht="15" hidden="false" customHeight="false" outlineLevel="0" collapsed="false">
      <c r="A15" s="4" t="s">
        <v>2585</v>
      </c>
      <c r="B15" s="4" t="s">
        <v>2586</v>
      </c>
      <c r="C15" s="4" t="s">
        <v>2586</v>
      </c>
      <c r="D15" s="24" t="s">
        <v>2587</v>
      </c>
      <c r="E15" s="4" t="s">
        <v>2588</v>
      </c>
    </row>
    <row r="16" customFormat="false" ht="55.2" hidden="false" customHeight="false" outlineLevel="0" collapsed="false">
      <c r="A16" s="4" t="s">
        <v>24</v>
      </c>
      <c r="B16" s="4" t="s">
        <v>2589</v>
      </c>
      <c r="C16" s="4" t="s">
        <v>2590</v>
      </c>
      <c r="D16" s="4" t="s">
        <v>2591</v>
      </c>
      <c r="E16" s="4" t="s">
        <v>2592</v>
      </c>
    </row>
    <row r="18" customFormat="false" ht="15" hidden="false" customHeight="false" outlineLevel="0" collapsed="false">
      <c r="A18" s="22" t="s">
        <v>2593</v>
      </c>
    </row>
    <row r="19" customFormat="false" ht="15" hidden="false" customHeight="false" outlineLevel="0" collapsed="false">
      <c r="A19" s="22" t="s">
        <v>52</v>
      </c>
      <c r="B19" s="22" t="s">
        <v>2568</v>
      </c>
      <c r="C19" s="22" t="s">
        <v>2594</v>
      </c>
      <c r="D19" s="22" t="s">
        <v>2570</v>
      </c>
      <c r="E19" s="22" t="s">
        <v>2595</v>
      </c>
    </row>
    <row r="20" customFormat="false" ht="15" hidden="false" customHeight="false" outlineLevel="0" collapsed="false">
      <c r="A20" s="0" t="s">
        <v>2596</v>
      </c>
      <c r="B20" s="0" t="s">
        <v>2597</v>
      </c>
      <c r="C20" s="0" t="s">
        <v>2597</v>
      </c>
      <c r="D20" s="0" t="s">
        <v>2598</v>
      </c>
      <c r="E20" s="0" t="s">
        <v>2599</v>
      </c>
    </row>
    <row r="21" customFormat="false" ht="15" hidden="false" customHeight="false" outlineLevel="0" collapsed="false">
      <c r="A21" s="0" t="s">
        <v>2600</v>
      </c>
      <c r="B21" s="0" t="s">
        <v>2601</v>
      </c>
      <c r="C21" s="0" t="s">
        <v>2601</v>
      </c>
      <c r="D21" s="0" t="s">
        <v>2598</v>
      </c>
      <c r="E21" s="0" t="s">
        <v>2602</v>
      </c>
    </row>
    <row r="22" customFormat="false" ht="15" hidden="false" customHeight="false" outlineLevel="0" collapsed="false">
      <c r="A22" s="0" t="s">
        <v>2603</v>
      </c>
      <c r="B22" s="0" t="s">
        <v>2604</v>
      </c>
      <c r="C22" s="0" t="s">
        <v>2604</v>
      </c>
      <c r="D22" s="0" t="s">
        <v>2598</v>
      </c>
      <c r="E22" s="0" t="s">
        <v>2605</v>
      </c>
    </row>
    <row r="23" customFormat="false" ht="15" hidden="false" customHeight="false" outlineLevel="0" collapsed="false">
      <c r="A23" s="0" t="s">
        <v>2606</v>
      </c>
      <c r="B23" s="0" t="s">
        <v>2607</v>
      </c>
      <c r="C23" s="0" t="s">
        <v>2607</v>
      </c>
      <c r="D23" s="0" t="s">
        <v>2598</v>
      </c>
      <c r="E23" s="0" t="s">
        <v>2608</v>
      </c>
    </row>
    <row r="24" customFormat="false" ht="15" hidden="false" customHeight="false" outlineLevel="0" collapsed="false">
      <c r="A24" s="0" t="s">
        <v>2609</v>
      </c>
      <c r="B24" s="0" t="s">
        <v>2610</v>
      </c>
      <c r="C24" s="0" t="s">
        <v>2610</v>
      </c>
      <c r="D24" s="0" t="s">
        <v>2598</v>
      </c>
      <c r="E24" s="0" t="s">
        <v>2611</v>
      </c>
    </row>
    <row r="25" customFormat="false" ht="15" hidden="false" customHeight="false" outlineLevel="0" collapsed="false">
      <c r="A25" s="0" t="s">
        <v>2612</v>
      </c>
      <c r="B25" s="0" t="s">
        <v>2613</v>
      </c>
      <c r="C25" s="0" t="s">
        <v>2613</v>
      </c>
      <c r="D25" s="0" t="s">
        <v>2598</v>
      </c>
      <c r="E25" s="0" t="s">
        <v>2614</v>
      </c>
    </row>
    <row r="26" customFormat="false" ht="15" hidden="false" customHeight="false" outlineLevel="0" collapsed="false">
      <c r="A26" s="0" t="s">
        <v>2615</v>
      </c>
      <c r="B26" s="0" t="s">
        <v>2616</v>
      </c>
      <c r="C26" s="0" t="s">
        <v>2616</v>
      </c>
      <c r="D26" s="0" t="s">
        <v>2598</v>
      </c>
      <c r="E26" s="0" t="s">
        <v>2617</v>
      </c>
    </row>
    <row r="27" customFormat="false" ht="15" hidden="false" customHeight="false" outlineLevel="0" collapsed="false">
      <c r="A27" s="0" t="s">
        <v>2576</v>
      </c>
      <c r="B27" s="0" t="s">
        <v>2618</v>
      </c>
      <c r="C27" s="0" t="s">
        <v>2618</v>
      </c>
      <c r="D27" s="0" t="s">
        <v>2598</v>
      </c>
      <c r="E27" s="0" t="s">
        <v>2619</v>
      </c>
    </row>
    <row r="28" customFormat="false" ht="15" hidden="false" customHeight="false" outlineLevel="0" collapsed="false">
      <c r="A28" s="0" t="s">
        <v>2620</v>
      </c>
      <c r="B28" s="0" t="s">
        <v>2621</v>
      </c>
      <c r="C28" s="0" t="s">
        <v>2621</v>
      </c>
      <c r="D28" s="0" t="s">
        <v>2598</v>
      </c>
      <c r="E28" s="0" t="s">
        <v>2622</v>
      </c>
    </row>
    <row r="29" customFormat="false" ht="15" hidden="false" customHeight="false" outlineLevel="0" collapsed="false">
      <c r="A29" s="0" t="s">
        <v>2623</v>
      </c>
      <c r="B29" s="0" t="s">
        <v>2618</v>
      </c>
      <c r="C29" s="0" t="s">
        <v>2618</v>
      </c>
      <c r="D29" s="0" t="s">
        <v>2598</v>
      </c>
      <c r="E29" s="0" t="s">
        <v>2624</v>
      </c>
    </row>
    <row r="30" customFormat="false" ht="15" hidden="false" customHeight="false" outlineLevel="0" collapsed="false">
      <c r="A30" s="0" t="s">
        <v>2625</v>
      </c>
      <c r="B30" s="0" t="s">
        <v>2626</v>
      </c>
      <c r="C30" s="0" t="s">
        <v>2627</v>
      </c>
      <c r="D30" s="0" t="s">
        <v>2598</v>
      </c>
      <c r="E30" s="0" t="s">
        <v>2628</v>
      </c>
    </row>
    <row r="31" customFormat="false" ht="15" hidden="false" customHeight="false" outlineLevel="0" collapsed="false">
      <c r="A31" s="0" t="s">
        <v>2580</v>
      </c>
      <c r="B31" s="0" t="s">
        <v>2629</v>
      </c>
      <c r="C31" s="0" t="s">
        <v>2629</v>
      </c>
      <c r="D31" s="0" t="s">
        <v>2598</v>
      </c>
      <c r="E31" s="0" t="s">
        <v>2630</v>
      </c>
    </row>
    <row r="32" customFormat="false" ht="15" hidden="false" customHeight="false" outlineLevel="0" collapsed="false">
      <c r="A32" s="0" t="s">
        <v>55</v>
      </c>
      <c r="B32" s="0" t="s">
        <v>2631</v>
      </c>
      <c r="C32" s="0" t="s">
        <v>2631</v>
      </c>
      <c r="D32" s="0" t="s">
        <v>2598</v>
      </c>
      <c r="E32" s="0" t="s">
        <v>2632</v>
      </c>
    </row>
    <row r="33" customFormat="false" ht="15" hidden="false" customHeight="false" outlineLevel="0" collapsed="false">
      <c r="A33" s="0" t="s">
        <v>33</v>
      </c>
      <c r="B33" s="0" t="s">
        <v>2633</v>
      </c>
      <c r="C33" s="0" t="s">
        <v>2633</v>
      </c>
      <c r="D33" s="0" t="s">
        <v>2598</v>
      </c>
      <c r="E33" s="0" t="s">
        <v>2634</v>
      </c>
    </row>
    <row r="34" customFormat="false" ht="15" hidden="false" customHeight="false" outlineLevel="0" collapsed="false">
      <c r="A34" s="0" t="s">
        <v>2635</v>
      </c>
      <c r="B34" s="0" t="s">
        <v>2636</v>
      </c>
      <c r="C34" s="0" t="s">
        <v>2636</v>
      </c>
      <c r="D34" s="0" t="s">
        <v>2598</v>
      </c>
      <c r="E34" s="0" t="s">
        <v>2581</v>
      </c>
    </row>
    <row r="35" customFormat="false" ht="15" hidden="false" customHeight="false" outlineLevel="0" collapsed="false">
      <c r="A35" s="0" t="s">
        <v>2637</v>
      </c>
      <c r="B35" s="0" t="s">
        <v>2638</v>
      </c>
      <c r="C35" s="0" t="s">
        <v>2638</v>
      </c>
      <c r="D35" s="0" t="s">
        <v>2598</v>
      </c>
      <c r="E35" s="0" t="s">
        <v>2639</v>
      </c>
    </row>
    <row r="36" customFormat="false" ht="15" hidden="false" customHeight="false" outlineLevel="0" collapsed="false">
      <c r="A36" s="0" t="s">
        <v>2640</v>
      </c>
      <c r="B36" s="0" t="s">
        <v>2641</v>
      </c>
      <c r="C36" s="0" t="s">
        <v>2642</v>
      </c>
      <c r="D36" s="0" t="s">
        <v>2643</v>
      </c>
      <c r="E36" s="0" t="s">
        <v>2644</v>
      </c>
    </row>
    <row r="38" customFormat="false" ht="15" hidden="false" customHeight="false" outlineLevel="0" collapsed="false">
      <c r="A38" s="22" t="s">
        <v>2645</v>
      </c>
    </row>
    <row r="39" customFormat="false" ht="15" hidden="false" customHeight="false" outlineLevel="0" collapsed="false">
      <c r="A39" s="22" t="s">
        <v>52</v>
      </c>
      <c r="B39" s="22" t="s">
        <v>2568</v>
      </c>
      <c r="C39" s="22" t="s">
        <v>2594</v>
      </c>
      <c r="D39" s="22" t="s">
        <v>2570</v>
      </c>
      <c r="E39" s="22" t="s">
        <v>2595</v>
      </c>
    </row>
    <row r="40" customFormat="false" ht="15" hidden="false" customHeight="false" outlineLevel="0" collapsed="false">
      <c r="A40" s="0" t="s">
        <v>2646</v>
      </c>
      <c r="B40" s="0" t="s">
        <v>2636</v>
      </c>
      <c r="C40" s="0" t="s">
        <v>2636</v>
      </c>
      <c r="D40" s="0" t="s">
        <v>2598</v>
      </c>
      <c r="E40" s="0" t="s">
        <v>2647</v>
      </c>
    </row>
    <row r="41" customFormat="false" ht="15" hidden="false" customHeight="false" outlineLevel="0" collapsed="false">
      <c r="A41" s="0" t="s">
        <v>2648</v>
      </c>
      <c r="B41" s="0" t="s">
        <v>2638</v>
      </c>
      <c r="C41" s="0" t="s">
        <v>2638</v>
      </c>
      <c r="D41" s="0" t="s">
        <v>2598</v>
      </c>
      <c r="E41" s="0" t="s">
        <v>2582</v>
      </c>
    </row>
    <row r="42" customFormat="false" ht="15" hidden="false" customHeight="false" outlineLevel="0" collapsed="false">
      <c r="A42" s="0" t="s">
        <v>2649</v>
      </c>
      <c r="B42" s="0" t="s">
        <v>2613</v>
      </c>
      <c r="C42" s="0" t="s">
        <v>2613</v>
      </c>
      <c r="D42" s="0" t="s">
        <v>2598</v>
      </c>
      <c r="E42" s="0" t="s">
        <v>2650</v>
      </c>
    </row>
    <row r="43" customFormat="false" ht="15" hidden="false" customHeight="false" outlineLevel="0" collapsed="false">
      <c r="A43" s="0" t="s">
        <v>2651</v>
      </c>
      <c r="B43" s="0" t="s">
        <v>2652</v>
      </c>
      <c r="C43" s="0" t="s">
        <v>2652</v>
      </c>
      <c r="D43" s="0" t="s">
        <v>2587</v>
      </c>
      <c r="E43" s="0" t="s">
        <v>2653</v>
      </c>
    </row>
    <row r="44" customFormat="false" ht="15" hidden="false" customHeight="false" outlineLevel="0" collapsed="false">
      <c r="A44" s="0" t="s">
        <v>2654</v>
      </c>
      <c r="B44" s="0" t="s">
        <v>2586</v>
      </c>
      <c r="C44" s="0" t="s">
        <v>2586</v>
      </c>
      <c r="D44" s="0" t="s">
        <v>2587</v>
      </c>
      <c r="E44" s="0" t="s">
        <v>2655</v>
      </c>
    </row>
    <row r="46" customFormat="false" ht="15" hidden="false" customHeight="false" outlineLevel="0" collapsed="false">
      <c r="A46" s="25" t="s">
        <v>2656</v>
      </c>
      <c r="B46" s="25"/>
      <c r="C46" s="25"/>
      <c r="D46" s="25"/>
      <c r="E46" s="25"/>
    </row>
    <row r="47" customFormat="false" ht="15" hidden="false" customHeight="false" outlineLevel="0" collapsed="false">
      <c r="A47" s="25" t="s">
        <v>52</v>
      </c>
      <c r="B47" s="25" t="s">
        <v>2568</v>
      </c>
      <c r="C47" s="25" t="s">
        <v>2594</v>
      </c>
      <c r="D47" s="25" t="s">
        <v>2570</v>
      </c>
      <c r="E47" s="25" t="s">
        <v>2595</v>
      </c>
    </row>
    <row r="48" customFormat="false" ht="15" hidden="false" customHeight="false" outlineLevel="0" collapsed="false">
      <c r="A48" s="0" t="s">
        <v>2657</v>
      </c>
      <c r="B48" s="0" t="s">
        <v>320</v>
      </c>
      <c r="C48" s="0" t="s">
        <v>2658</v>
      </c>
      <c r="D48" s="0" t="s">
        <v>2643</v>
      </c>
      <c r="E48" s="0" t="s">
        <v>2659</v>
      </c>
    </row>
    <row r="49" customFormat="false" ht="15" hidden="false" customHeight="false" outlineLevel="0" collapsed="false">
      <c r="A49" s="0" t="s">
        <v>2660</v>
      </c>
      <c r="B49" s="0" t="s">
        <v>327</v>
      </c>
      <c r="C49" s="0" t="s">
        <v>2658</v>
      </c>
      <c r="D49" s="0" t="s">
        <v>2643</v>
      </c>
      <c r="E49" s="0" t="s">
        <v>2661</v>
      </c>
    </row>
    <row r="50" customFormat="false" ht="15" hidden="false" customHeight="false" outlineLevel="0" collapsed="false">
      <c r="A50" s="0" t="s">
        <v>2662</v>
      </c>
      <c r="B50" s="0" t="s">
        <v>2663</v>
      </c>
      <c r="C50" s="0" t="s">
        <v>2664</v>
      </c>
      <c r="D50" s="0" t="s">
        <v>2665</v>
      </c>
      <c r="E50" s="0" t="s">
        <v>2666</v>
      </c>
    </row>
    <row r="51" customFormat="false" ht="15" hidden="false" customHeight="false" outlineLevel="0" collapsed="false">
      <c r="A51" s="0" t="s">
        <v>2667</v>
      </c>
      <c r="B51" s="0" t="s">
        <v>388</v>
      </c>
      <c r="C51" s="0" t="s">
        <v>168</v>
      </c>
      <c r="D51" s="0" t="s">
        <v>2591</v>
      </c>
      <c r="E51" s="0" t="s">
        <v>2668</v>
      </c>
    </row>
    <row r="52" customFormat="false" ht="15" hidden="false" customHeight="false" outlineLevel="0" collapsed="false">
      <c r="A52" s="0" t="s">
        <v>2669</v>
      </c>
      <c r="B52" s="0" t="s">
        <v>2670</v>
      </c>
      <c r="C52" s="0" t="s">
        <v>2671</v>
      </c>
      <c r="D52" s="0" t="s">
        <v>2598</v>
      </c>
      <c r="E52" s="0" t="s">
        <v>2672</v>
      </c>
    </row>
    <row r="53" customFormat="false" ht="15" hidden="false" customHeight="false" outlineLevel="0" collapsed="false">
      <c r="A53" s="0" t="s">
        <v>2673</v>
      </c>
      <c r="B53" s="0" t="s">
        <v>2674</v>
      </c>
      <c r="C53" s="0" t="s">
        <v>2675</v>
      </c>
      <c r="D53" s="0" t="s">
        <v>2598</v>
      </c>
      <c r="E53" s="0" t="s">
        <v>2676</v>
      </c>
    </row>
  </sheetData>
  <mergeCells count="1">
    <mergeCell ref="A1:E1"/>
  </mergeCells>
  <conditionalFormatting sqref="D4:D15">
    <cfRule type="containsText" priority="2" operator="containsText" aboveAverage="0" equalAverage="0" bottom="0" percent="0" rank="0" text="PASS" dxfId="4">
      <formula>NOT(ISERROR(SEARCH("PASS",D4)))</formula>
    </cfRule>
  </conditionalFormatting>
  <conditionalFormatting sqref="D4:D16">
    <cfRule type="containsText" priority="3" operator="containsText" aboveAverage="0" equalAverage="0" bottom="0" percent="0" rank="0" text="PENDING" dxfId="7">
      <formula>NOT(ISERROR(SEARCH("PENDING",D4)))</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2026-09-14T17:11:06Z</dcterms:created>
  <dc:creator>openpyxl</dc:creator>
  <dc:description/>
  <dc:language>en-US</dc:language>
  <cp:lastModifiedBy/>
  <dcterms:modified xsi:type="dcterms:W3CDTF">2026-09-27T01:34:45Z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