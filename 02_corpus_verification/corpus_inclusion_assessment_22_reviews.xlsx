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f035b977234ea1" /></Relationships>
</file>

<file path=xl/workbook.xml><?xml version="1.0" encoding="utf-8"?>
<x:workbook xmlns:x="http://schemas.openxmlformats.org/spreadsheetml/2006/main">
  <x:sheets>
    <x:sheet xmlns:r="http://schemas.openxmlformats.org/officeDocument/2006/relationships" name="Instructions" sheetId="1" r:id="Re6160e6331cd43eb"/>
    <x:sheet xmlns:r="http://schemas.openxmlformats.org/officeDocument/2006/relationships" name="Eligibility Criteria" sheetId="2" r:id="Rf96823ebd46843d7"/>
    <x:sheet xmlns:r="http://schemas.openxmlformats.org/officeDocument/2006/relationships" name="22 Reviews" sheetId="3" r:id="Ra356d1ce03374a9e"/>
    <x:sheet xmlns:r="http://schemas.openxmlformats.org/officeDocument/2006/relationships" name="Summary" sheetId="4" r:id="Rff7ffe11c93c4351"/>
  </x:sheets>
</x:workbook>
</file>

<file path=xl/sharedStrings.xml><?xml version="1.0" encoding="utf-8"?>
<x:sst xmlns:x="http://schemas.openxmlformats.org/spreadsheetml/2006/main">
  <x:si>
    <x:t xml:space="preserve">Independent Assessment of the Included Review Corpus (n = 22)</x:t>
  </x:si>
  <x:si>
    <x:t xml:space="preserve">Manuscript EAI-D-26-00659 — tertiary review of reinforcement learning for building control</x:t>
  </x:si>
  <x:si>
    <x:t xml:space="preserve">What you are being asked to do</x:t>
  </x:si>
  <x:si>
    <x:t xml:space="preserve">For each of the 22 reviews listed on the '22 Reviews' tab, decide independently whether it belongs in the corpus. Judge each review against the six eligibility criteria set out on the 'Eligibility Criteria' tab. Work from the full text of each review, not from its title or abstract alone.</x:t>
  </x:si>
  <x:si>
    <x:t xml:space="preserve">How to fill the sheet</x:t>
  </x:si>
  <x:si>
    <x:t xml:space="preserve">1.  For each review, mark each of the six criteria C1-C6 as Yes, No, or Unclear.</x:t>
  </x:si>
  <x:si>
    <x:t xml:space="preserve">2.  Then record one overall judgement in the 'Agreement' column, using the four-point scale below.</x:t>
  </x:si>
  <x:si>
    <x:t xml:space="preserve">3.  Give a short reason in the 'Reason / evidence' column whenever you enter 2 or 1, and whenever you mark any criterion No or Unclear. Cite the section, table or figure you relied on.</x:t>
  </x:si>
  <x:si>
    <x:t xml:space="preserve">4.  Yellow cells are the ones you fill in. Leave every other cell alone.</x:t>
  </x:si>
  <x:si>
    <x:t xml:space="preserve">The four-point agreement scale</x:t>
  </x:si>
  <x:si>
    <x:t xml:space="preserve">4  —  Clearly eligible.      All six criteria are met without qualification.</x:t>
  </x:si>
  <x:si>
    <x:t xml:space="preserve">3  —  Eligible.              All six criteria are met, but at least one required a borderline judgement.</x:t>
  </x:si>
  <x:si>
    <x:t xml:space="preserve">2  —  Questionable.          At least one criterion is borderline or arguably unmet; inclusion is defensible but not clear-cut.</x:t>
  </x:si>
  <x:si>
    <x:t xml:space="preserve">1  —  Not eligible.          At least one criterion is clearly unmet; the review should be excluded.</x:t>
  </x:si>
  <x:si>
    <x:t xml:space="preserve">The scale is deliberately even-numbered: there is no neutral midpoint, so every review receives a direction.</x:t>
  </x:si>
  <x:si>
    <x:t xml:space="preserve">Please do not consult the coding files, the audit trail or the manuscript while assessing. The purpose of this exercise is an independent judgement, so prior knowledge of how each review was scored would defeat it.</x:t>
  </x:si>
  <x:si>
    <x:t xml:space="preserve">Return the completed file with all 22 rows filled in.</x:t>
  </x:si>
  <x:si>
    <x:t xml:space="preserve">Eligibility Criteria</x:t>
  </x:si>
  <x:si>
    <x:t xml:space="preserve">A review is included only when all six criteria are met.</x:t>
  </x:si>
  <x:si>
    <x:t xml:space="preserve">Code</x:t>
  </x:si>
  <x:si>
    <x:t xml:space="preserve">Criterion — include when</x:t>
  </x:si>
  <x:si>
    <x:t xml:space="preserve">Exclude when</x:t>
  </x:si>
  <x:si>
    <x:t xml:space="preserve">C1</x:t>
  </x:si>
  <x:si>
    <x:t xml:space="preserve">Publication type. It is a full peer-reviewed journal review, survey, systematic review or comprehensive review.</x:t>
  </x:si>
  <x:si>
    <x:t xml:space="preserve">It presents primary research rather than a review; or it is a conference paper, book chapter, thesis, technical report, preprint, corrigendum, letter, short non-review format (fewer than eight pages), or a substantially overlapping version of another included review.</x:t>
  </x:si>
  <x:si>
    <x:t xml:space="preserve">C2</x:t>
  </x:si>
  <x:si>
    <x:t xml:space="preserve">Reinforcement-learning centrality. RL, deep RL or multi-agent RL is a central organizing subject of the objectives, taxonomy, comparisons or synthesis.</x:t>
  </x:si>
  <x:si>
    <x:t xml:space="preserve">RL is one method among many inside a broader artificial-intelligence, machine-learning, optimization, MPC or control review; or RL is treated only tangentially, for example in a single paragraph.</x:t>
  </x:si>
  <x:si>
    <x:t xml:space="preserve">C3</x:t>
  </x:si>
  <x:si>
    <x:t xml:space="preserve">Building-control centrality. Operational control or energy management of occupied residential or commercial buildings is a central and separable application domain.</x:t>
  </x:si>
  <x:si>
    <x:t xml:space="preserve">The review addresses smart grids, power systems, electricity markets, electric vehicles, district or community coordination, or industrial control, without building-level control as the principal synthesis; or buildings are only incidental.</x:t>
  </x:si>
  <x:si>
    <x:t xml:space="preserve">C4</x:t>
  </x:si>
  <x:si>
    <x:t xml:space="preserve">Scope boundary for multi-energy and multi-building reviews. Buildings are explicit controlled systems and the paper provides a separable synthesis of operational building-control objectives, actions, constraints or outcomes.</x:t>
  </x:si>
  <x:si>
    <x:t xml:space="preserve">Grid services, market participation, power-system operation, electric vehicles or district coordination form the principal synthesis, with building control subordinate to them.</x:t>
  </x:si>
  <x:si>
    <x:t xml:space="preserve">C5</x:t>
  </x:si>
  <x:si>
    <x:t xml:space="preserve">Eligible application domain. The reviewed applications involve an operational control decision: HVAC and thermal comfort, lighting, occupant-responsive control, home or building energy management, storage, or building-side renewable or building-integrated-photovoltaic operation.</x:t>
  </x:si>
  <x:si>
    <x:t xml:space="preserve">The review concerns photovoltaic sizing, placement or building-envelope design without an operational control decision; or RL is applied to occupant-behaviour modelling or simulation rather than to building control.</x:t>
  </x:si>
  <x:si>
    <x:t xml:space="preserve">C6</x:t>
  </x:si>
  <x:si>
    <x:t xml:space="preserve">Language, access and date. It is written in English, the full text is accessible, and it was published and available by 2 September 2026.</x:t>
  </x:si>
  <x:si>
    <x:t xml:space="preserve">It is not in English, the full text cannot be obtained, or it became available only after 2 September 2026.</x:t>
  </x:si>
  <x:si>
    <x:t xml:space="preserve">Note</x:t>
  </x:si>
  <x:si>
    <x:t xml:space="preserve">Relevant conference reviews, expert syntheses and mixed MPC/RL reviews may be cited as contextual evidence in the discussion, but they are not counted in the quantitative review denominator and are therefore not part of this corpus.</x:t>
  </x:si>
  <x:si>
    <x:t xml:space="preserve">ID</x:t>
  </x:si>
  <x:si>
    <x:t xml:space="preserve">Citation key</x:t>
  </x:si>
  <x:si>
    <x:t xml:space="preserve">Authors</x:t>
  </x:si>
  <x:si>
    <x:t xml:space="preserve">Year</x:t>
  </x:si>
  <x:si>
    <x:t xml:space="preserve">Title</x:t>
  </x:si>
  <x:si>
    <x:t xml:space="preserve">Venue</x:t>
  </x:si>
  <x:si>
    <x:t xml:space="preserve">Vol / pages</x:t>
  </x:si>
  <x:si>
    <x:t xml:space="preserve">DOI</x:t>
  </x:si>
  <x:si>
    <x:t xml:space="preserve">C1 Publication type</x:t>
  </x:si>
  <x:si>
    <x:t xml:space="preserve">C2 RL centrality</x:t>
  </x:si>
  <x:si>
    <x:t xml:space="preserve">C3 Building-control centrality</x:t>
  </x:si>
  <x:si>
    <x:t xml:space="preserve">C4 Scope boundary</x:t>
  </x:si>
  <x:si>
    <x:t xml:space="preserve">C5 Application domain</x:t>
  </x:si>
  <x:si>
    <x:t xml:space="preserve">C6 Language / access / date</x:t>
  </x:si>
  <x:si>
    <x:t xml:space="preserve">Agreement (1-4)</x:t>
  </x:si>
  <x:si>
    <x:t xml:space="preserve">Reason / evidence</x:t>
  </x:si>
  <x:si>
    <x:t xml:space="preserve">S01</x:t>
  </x:si>
  <x:si>
    <x:t xml:space="preserve">mason2019review</x:t>
  </x:si>
  <x:si>
    <x:t xml:space="preserve">Mason, Karl; Grijalva, Santiago</x:t>
  </x:si>
  <x:si>
    <x:t xml:space="preserve">A review of reinforcement learning for autonomous building energy management</x:t>
  </x:si>
  <x:si>
    <x:t xml:space="preserve">Computers &amp; Electrical Engineering</x:t>
  </x:si>
  <x:si>
    <x:t xml:space="preserve">78, 300–312</x:t>
  </x:si>
  <x:si>
    <x:t xml:space="preserve">10.1016/j.compeleceng.2019.07.019</x:t>
  </x:si>
  <x:si>
    <x:t xml:space="preserve">S02</x:t>
  </x:si>
  <x:si>
    <x:t xml:space="preserve">wang2020reinforcement</x:t>
  </x:si>
  <x:si>
    <x:t xml:space="preserve">Wang, Zhe; Hong, Tianzhen</x:t>
  </x:si>
  <x:si>
    <x:t xml:space="preserve">Reinforcement learning for building controls: The opportunities and challenges</x:t>
  </x:si>
  <x:si>
    <x:t xml:space="preserve">Applied Energy</x:t>
  </x:si>
  <x:si>
    <x:t xml:space="preserve">269, 115036</x:t>
  </x:si>
  <x:si>
    <x:t xml:space="preserve">10.1016/j.apenergy.2020.115036</x:t>
  </x:si>
  <x:si>
    <x:t xml:space="preserve">S03</x:t>
  </x:si>
  <x:si>
    <x:t xml:space="preserve">han2021reinforcement</x:t>
  </x:si>
  <x:si>
    <x:t xml:space="preserve">Han, Mengjie; Zhao, Jing; Zhang, Xingxing; Shen, Jingchun; Li, Yu</x:t>
  </x:si>
  <x:si>
    <x:t xml:space="preserve">The reinforcement learning method for occupant behavior in building control: A review</x:t>
  </x:si>
  <x:si>
    <x:t xml:space="preserve">Energy and Built Environment</x:t>
  </x:si>
  <x:si>
    <x:t xml:space="preserve">2(2), 137–148</x:t>
  </x:si>
  <x:si>
    <x:t xml:space="preserve">(not recorded in bib)</x:t>
  </x:si>
  <x:si>
    <x:t xml:space="preserve">S04</x:t>
  </x:si>
  <x:si>
    <x:t xml:space="preserve">yu2021review</x:t>
  </x:si>
  <x:si>
    <x:t xml:space="preserve">Yu, Liang; Qin, Shuqi; Zhang, Meng; Shen, Chao; Jiang, Tao; Guan, Xiaohong</x:t>
  </x:si>
  <x:si>
    <x:t xml:space="preserve">A review of deep reinforcement learning for smart building energy management</x:t>
  </x:si>
  <x:si>
    <x:t xml:space="preserve">IEEE Internet of Things Journal</x:t>
  </x:si>
  <x:si>
    <x:t xml:space="preserve">8(15), 12046–12063</x:t>
  </x:si>
  <x:si>
    <x:t xml:space="preserve">10.1109/JIOT.2021.3078462</x:t>
  </x:si>
  <x:si>
    <x:t xml:space="preserve">S05</x:t>
  </x:si>
  <x:si>
    <x:t xml:space="preserve">al2022reinforcement</x:t>
  </x:si>
  <x:si>
    <x:t xml:space="preserve">Al-Ani, Omar; Das, Sanjoy</x:t>
  </x:si>
  <x:si>
    <x:t xml:space="preserve">Reinforcement learning: Theory and applications in HEMS</x:t>
  </x:si>
  <x:si>
    <x:t xml:space="preserve">Energies</x:t>
  </x:si>
  <x:si>
    <x:t xml:space="preserve">15(17), 6392</x:t>
  </x:si>
  <x:si>
    <x:t xml:space="preserve">10.3390/en15176392</x:t>
  </x:si>
  <x:si>
    <x:t xml:space="preserve">S06</x:t>
  </x:si>
  <x:si>
    <x:t xml:space="preserve">fu2022applications</x:t>
  </x:si>
  <x:si>
    <x:t xml:space="preserve">Fu, Qiming; Han, Zhicong; Chen, Jianping; Lu, You; Wu, Hongjie; Wang, Yunzhe</x:t>
  </x:si>
  <x:si>
    <x:t xml:space="preserve">Applications of reinforcement learning for building energy efficiency control: A review</x:t>
  </x:si>
  <x:si>
    <x:t xml:space="preserve">Journal of Building Engineering</x:t>
  </x:si>
  <x:si>
    <x:t xml:space="preserve">50, 104165</x:t>
  </x:si>
  <x:si>
    <x:t xml:space="preserve">10.1016/j.jobe.2022.104165</x:t>
  </x:si>
  <x:si>
    <x:t xml:space="preserve">S07</x:t>
  </x:si>
  <x:si>
    <x:t xml:space="preserve">shaqour2022systematic</x:t>
  </x:si>
  <x:si>
    <x:t xml:space="preserve">Shaqour, Ayas; Hagishima, Aya</x:t>
  </x:si>
  <x:si>
    <x:t xml:space="preserve">Systematic review on deep reinforcement learning-based energy management for different building types</x:t>
  </x:si>
  <x:si>
    <x:t xml:space="preserve">15(22), 8663</x:t>
  </x:si>
  <x:si>
    <x:t xml:space="preserve">10.3390/en15228663</x:t>
  </x:si>
  <x:si>
    <x:t xml:space="preserve">S08</x:t>
  </x:si>
  <x:si>
    <x:t xml:space="preserve">sierla2022review</x:t>
  </x:si>
  <x:si>
    <x:t xml:space="preserve">Sierla, Seppo; Ihasalo, Heikki; Vyatkin, Valeriy</x:t>
  </x:si>
  <x:si>
    <x:t xml:space="preserve">A review of reinforcement learning applications to control of heating, ventilation and air conditioning systems</x:t>
  </x:si>
  <x:si>
    <x:t xml:space="preserve">15(10), 3526</x:t>
  </x:si>
  <x:si>
    <x:t xml:space="preserve">10.3390/en15103526</x:t>
  </x:si>
  <x:si>
    <x:t xml:space="preserve">S09</x:t>
  </x:si>
  <x:si>
    <x:t xml:space="preserve">zhang2022building</x:t>
  </x:si>
  <x:si>
    <x:t xml:space="preserve">Zhang, Huiliang; Seal, Sayani; Wu, Di; Bouffard, François; Boulet, Benoit</x:t>
  </x:si>
  <x:si>
    <x:t xml:space="preserve">Building energy management with reinforcement learning and model predictive control: A survey</x:t>
  </x:si>
  <x:si>
    <x:t xml:space="preserve">IEEE Access</x:t>
  </x:si>
  <x:si>
    <x:t xml:space="preserve">10, 27853–27862</x:t>
  </x:si>
  <x:si>
    <x:t xml:space="preserve">10.1109/ACCESS.2022.3156581</x:t>
  </x:si>
  <x:si>
    <x:t xml:space="preserve">S10</x:t>
  </x:si>
  <x:si>
    <x:t xml:space="preserve">weinberg2023review</x:t>
  </x:si>
  <x:si>
    <x:t xml:space="preserve">Weinberg, David; Wang, Qian; Timoudas, Thomas Ohlson; Fischione, Carlo</x:t>
  </x:si>
  <x:si>
    <x:t xml:space="preserve">A review of reinforcement learning for controlling building energy systems from a computer science perspective</x:t>
  </x:si>
  <x:si>
    <x:t xml:space="preserve">Sustainable Cities and Society</x:t>
  </x:si>
  <x:si>
    <x:t xml:space="preserve">89, 104351</x:t>
  </x:si>
  <x:si>
    <x:t xml:space="preserve">10.1016/j.scs.2022.104351</x:t>
  </x:si>
  <x:si>
    <x:t xml:space="preserve">S11</x:t>
  </x:si>
  <x:si>
    <x:t xml:space="preserve">chatterjee2023dynamic</x:t>
  </x:si>
  <x:si>
    <x:t xml:space="preserve">Chatterjee, Arnab; Khovalyg, Dolaana</x:t>
  </x:si>
  <x:si>
    <x:t xml:space="preserve">Dynamic indoor thermal environment using reinforcement learning-based controls: Opportunities and challenges</x:t>
  </x:si>
  <x:si>
    <x:t xml:space="preserve">Building and Environment</x:t>
  </x:si>
  <x:si>
    <x:t xml:space="preserve">244, 110766</x:t>
  </x:si>
  <x:si>
    <x:t xml:space="preserve">10.1016/j.buildenv.2023.110766</x:t>
  </x:si>
  <x:si>
    <x:t xml:space="preserve">S12</x:t>
  </x:si>
  <x:si>
    <x:t xml:space="preserve">al2024reinforcement</x:t>
  </x:si>
  <x:si>
    <x:t xml:space="preserve">Al Sayed, Khalil; Boodi, Abhinandana; Sadeghian Broujeny, Roozbeh; Beddiar, Karim</x:t>
  </x:si>
  <x:si>
    <x:t xml:space="preserve">Reinforcement learning for HVAC control in intelligent buildings: A technical and conceptual review</x:t>
  </x:si>
  <x:si>
    <x:t xml:space="preserve">95, 110085</x:t>
  </x:si>
  <x:si>
    <x:t xml:space="preserve">10.1016/j.jobe.2024.110085</x:t>
  </x:si>
  <x:si>
    <x:t xml:space="preserve">S13</x:t>
  </x:si>
  <x:si>
    <x:t xml:space="preserve">laton2024applications</x:t>
  </x:si>
  <x:si>
    <x:t xml:space="preserve">Latoń, Dominik; Grela, Jakub; Ożadowicz, Andrzej</x:t>
  </x:si>
  <x:si>
    <x:t xml:space="preserve">Applications of deep reinforcement learning for home energy management systems: A review</x:t>
  </x:si>
  <x:si>
    <x:t xml:space="preserve">17(24), 6420</x:t>
  </x:si>
  <x:si>
    <x:t xml:space="preserve">10.3390/en17246420</x:t>
  </x:si>
  <x:si>
    <x:t xml:space="preserve">S14</x:t>
  </x:si>
  <x:si>
    <x:t xml:space="preserve">pinthurat2024overview</x:t>
  </x:si>
  <x:si>
    <x:t xml:space="preserve">Pinthurat, Watcharakorn; Surinkaew, Tossaporn; Hredzak, Branislav</x:t>
  </x:si>
  <x:si>
    <x:t xml:space="preserve">An overview of reinforcement learning-based approaches for smart home energy management systems with energy storages</x:t>
  </x:si>
  <x:si>
    <x:t xml:space="preserve">Renewable and Sustainable Energy Reviews</x:t>
  </x:si>
  <x:si>
    <x:t xml:space="preserve">202, 114648</x:t>
  </x:si>
  <x:si>
    <x:t xml:space="preserve">10.1016/j.rser.2024.114648</x:t>
  </x:si>
  <x:si>
    <x:t xml:space="preserve">S15</x:t>
  </x:si>
  <x:si>
    <x:t xml:space="preserve">huynh2025multi</x:t>
  </x:si>
  <x:si>
    <x:t xml:space="preserve">Huynh, Thi Ngoc Yen; Nguyen, Anh Tuan; Ahn, Yonghan; Oo, Bee Lan; Lim, Benson T.H.</x:t>
  </x:si>
  <x:si>
    <x:t xml:space="preserve">Multi objectives reinforcement learning for smart buildings: A systematic review of algorithms, applications and future perspectives</x:t>
  </x:si>
  <x:si>
    <x:t xml:space="preserve">Energy and Buildings</x:t>
  </x:si>
  <x:si>
    <x:t xml:space="preserve">116045</x:t>
  </x:si>
  <x:si>
    <x:t xml:space="preserve">10.1016/j.enbuild.2025.116045</x:t>
  </x:si>
  <x:si>
    <x:t xml:space="preserve">S16</x:t>
  </x:si>
  <x:si>
    <x:t xml:space="preserve">kannari2025reinforcement</x:t>
  </x:si>
  <x:si>
    <x:t xml:space="preserve">Kannari, Lotta; Wessberg, Nina; Hirvonen, Sara; Kantorovitch, Julia; Paiho, Satu</x:t>
  </x:si>
  <x:si>
    <x:t xml:space="preserve">Reinforcement learning for control and optimization of real buildings: Identifying and addressing implementation hurdles</x:t>
  </x:si>
  <x:si>
    <x:t xml:space="preserve">112283</x:t>
  </x:si>
  <x:si>
    <x:t xml:space="preserve">10.1016/j.jobe.2025.112283</x:t>
  </x:si>
  <x:si>
    <x:t xml:space="preserve">S17</x:t>
  </x:si>
  <x:si>
    <x:t xml:space="preserve">michailidis2025reinforcement</x:t>
  </x:si>
  <x:si>
    <x:t xml:space="preserve">Michailidis, Panagiotis; Michailidis, Iakovos; Kosmatopoulos, Elias</x:t>
  </x:si>
  <x:si>
    <x:t xml:space="preserve">Reinforcement learning for optimizing renewable energy utilization in buildings: A review on applications and innovations</x:t>
  </x:si>
  <x:si>
    <x:t xml:space="preserve">18(7), 1724</x:t>
  </x:si>
  <x:si>
    <x:t xml:space="preserve">10.3390/en18071724</x:t>
  </x:si>
  <x:si>
    <x:t xml:space="preserve">S18</x:t>
  </x:si>
  <x:si>
    <x:t xml:space="preserve">li2025systematic</x:t>
  </x:si>
  <x:si>
    <x:t xml:space="preserve">Li, Jiaqi; Xie, Hongbin; Zhang, Jingyuan; Li, Lianxin; Song, Ge; Fu, Hongdi; Chen, Panxi; Liu, Chenyang; Zhang, Liyu; Shi, Zhuoran; Yu, Qing; Song, Xuan; Zhang, Haoran</x:t>
  </x:si>
  <x:si>
    <x:t xml:space="preserve">A systematic review of reinforcement learning in Building-Integrated Photovoltaic (BIPV) optimization</x:t>
  </x:si>
  <x:si>
    <x:t xml:space="preserve">Advances in Applied Energy</x:t>
  </x:si>
  <x:si>
    <x:t xml:space="preserve">19, 100239</x:t>
  </x:si>
  <x:si>
    <x:t xml:space="preserve">10.1016/j.adapen.2025.100239</x:t>
  </x:si>
  <x:si>
    <x:t xml:space="preserve">S19</x:t>
  </x:si>
  <x:si>
    <x:t xml:space="preserve">togashi2025reward</x:t>
  </x:si>
  <x:si>
    <x:t xml:space="preserve">Togashi, Eisuke</x:t>
  </x:si>
  <x:si>
    <x:t xml:space="preserve">Reward function design in reinforcement learning for HVAC control: A review of thermal comfort and energy efficiency trade-offs</x:t>
  </x:si>
  <x:si>
    <x:t xml:space="preserve">116439</x:t>
  </x:si>
  <x:si>
    <x:t xml:space="preserve">10.1016/j.enbuild.2025.116439</x:t>
  </x:si>
  <x:si>
    <x:t xml:space="preserve">S20</x:t>
  </x:si>
  <x:si>
    <x:t xml:space="preserve">lei2026enhancing</x:t>
  </x:si>
  <x:si>
    <x:t xml:space="preserve">Lei, Yuzhen; Xie, Hongbin; Zhao, Jiaxing; Liu, Shuangxue; Feng, Defan; Xu, Hengyi; Xie, Linguo; Song, Xuan; Zhang, Haoran</x:t>
  </x:si>
  <x:si>
    <x:t xml:space="preserve">Enhancing the resilience of building multi-energy systems using deep reinforcement learning: A comprehensive survey</x:t>
  </x:si>
  <x:si>
    <x:t xml:space="preserve">422, 128292</x:t>
  </x:si>
  <x:si>
    <x:t xml:space="preserve">10.1016/j.apenergy.2026.128292</x:t>
  </x:si>
  <x:si>
    <x:t xml:space="preserve">S21</x:t>
  </x:si>
  <x:si>
    <x:t xml:space="preserve">mazhar2026deep</x:t>
  </x:si>
  <x:si>
    <x:t xml:space="preserve">Mazhar, Tehseen; Guizani, Sghaier; Hamam, Habib</x:t>
  </x:si>
  <x:si>
    <x:t xml:space="preserve">Deep reinforcement learning and IoT for renewable energy optimization in smart buildings: A comprehensive review</x:t>
  </x:si>
  <x:si>
    <x:t xml:space="preserve">IET Generation, Transmission &amp; Distribution</x:t>
  </x:si>
  <x:si>
    <x:t xml:space="preserve">20(1), e70255</x:t>
  </x:si>
  <x:si>
    <x:t xml:space="preserve">10.1049/gtd2.70255</x:t>
  </x:si>
  <x:si>
    <x:t xml:space="preserve">S22</x:t>
  </x:si>
  <x:si>
    <x:t xml:space="preserve">mohsenpour2026hybrid</x:t>
  </x:si>
  <x:si>
    <x:t xml:space="preserve">Mohsenpour, Majid; Xing, Yangang</x:t>
  </x:si>
  <x:si>
    <x:t xml:space="preserve">Hybrid reinforcement learning for occupant-centric building control: A review and deployment framework for co-optimizing energy, comfort and indoor air quality</x:t>
  </x:si>
  <x:si>
    <x:t xml:space="preserve">408, 127392</x:t>
  </x:si>
  <x:si>
    <x:t xml:space="preserve">10.1016/j.apenergy.2026.127392</x:t>
  </x:si>
  <x:si>
    <x:t xml:space="preserve">Yellow cells are for you to complete. C1-C6 take Yes / No / Unclear; Agreement takes 4, 3, 2 or 1.</x:t>
  </x:si>
  <x:si>
    <x:t xml:space="preserve">Example of a completed row (illustrative only — not one of the 22):</x:t>
  </x:si>
  <x:si>
    <x:t xml:space="preserve">EX</x:t>
  </x:si>
  <x:si>
    <x:t xml:space="preserve">doe2024review</x:t>
  </x:si>
  <x:si>
    <x:t xml:space="preserve">Doe, J.; Roe, A.</x:t>
  </x:si>
  <x:si>
    <x:t xml:space="preserve">A review of reinforcement learning for chiller plant supervisory control</x:t>
  </x:si>
  <x:si>
    <x:t xml:space="preserve">91, 100000</x:t>
  </x:si>
  <x:si>
    <x:t xml:space="preserve">10.0000/example.2024.000000</x:t>
  </x:si>
  <x:si>
    <x:t xml:space="preserve">Yes</x:t>
  </x:si>
  <x:si>
    <x:t xml:space="preserve">Meets all six. C2 borderline: RL shares Section 3 with MPC, but the taxonomy in Table 2 and the comparison in Section 5 are organized around RL, so RL is the central subject.</x:t>
  </x:si>
  <x:si>
    <x:t xml:space="preserve">Summary of the Assessment</x:t>
  </x:si>
  <x:si>
    <x:t xml:space="preserve">These cells calculate automatically once the '22 Reviews' tab is filled in.</x:t>
  </x:si>
  <x:si>
    <x:t xml:space="preserve">Measure</x:t>
  </x:si>
  <x:si>
    <x:t xml:space="preserve">Value</x:t>
  </x:si>
  <x:si>
    <x:t xml:space="preserve">Reviews assessed</x:t>
  </x:si>
  <x:si>
    <x:t xml:space="preserve">Rows with an agreement value entered</x:t>
  </x:si>
  <x:si>
    <x:t xml:space="preserve">4 — Clearly eligible</x:t>
  </x:si>
  <x:si>
    <x:t xml:space="preserve">3 — Eligible</x:t>
  </x:si>
  <x:si>
    <x:t xml:space="preserve">2 — Questionable</x:t>
  </x:si>
  <x:si>
    <x:t xml:space="preserve">1 — Not eligible</x:t>
  </x:si>
  <x:si>
    <x:t xml:space="preserve">Agreeing with inclusion (4 or 3)</x:t>
  </x:si>
  <x:si>
    <x:t xml:space="preserve">The headline agreement count</x:t>
  </x:si>
  <x:si>
    <x:t xml:space="preserve">Percentage agreeing with inclusion</x:t>
  </x:si>
  <x:si>
    <x:t xml:space="preserve">Mean agreement score</x:t>
  </x:si>
  <x:si>
    <x:t xml:space="preserve">Ordinal scale — report counts as well</x:t>
  </x:si>
  <x:si>
    <x:t xml:space="preserve">Criterion marked No or Unclear</x:t>
  </x:si>
</x:sst>
</file>

<file path=xl/styles.xml><?xml version="1.0" encoding="utf-8"?>
<x:styleSheet xmlns:x="http://schemas.openxmlformats.org/spreadsheetml/2006/main">
  <x:numFmts count="4">
    <x:numFmt numFmtId="164" formatCode="General"/>
    <x:numFmt numFmtId="165" formatCode="General"/>
    <x:numFmt numFmtId="166" formatCode="0.0%"/>
    <x:numFmt numFmtId="167" formatCode="0.00"/>
  </x:numFmts>
  <x:fonts count="9">
    <x:font>
      <x:sz val="11"/>
      <x:color theme="1"/>
      <x:name val="Calibri"/>
    </x:font>
    <x:font>
      <x:sz val="10"/>
      <x:name val="Arial"/>
    </x:font>
    <x:font>
      <x:sz val="10"/>
      <x:name val="Arial"/>
    </x:font>
    <x:font>
      <x:sz val="10"/>
      <x:name val="Arial"/>
    </x:font>
    <x:font>
      <x:b/>
      <x:sz val="14"/>
      <x:name val="Arial"/>
    </x:font>
    <x:font>
      <x:sz val="10"/>
      <x:name val="Arial"/>
    </x:font>
    <x:font>
      <x:b/>
      <x:sz val="10"/>
      <x:name val="Arial"/>
    </x:font>
    <x:font>
      <x:b/>
      <x:sz val="11"/>
      <x:color rgb="FFFFFFFF"/>
      <x:name val="Arial"/>
    </x:font>
    <x:font>
      <x:i/>
      <x:sz val="10"/>
      <x:name val="Arial"/>
    </x:font>
  </x:fonts>
  <x:fills count="5">
    <x:fill>
      <x:patternFill patternType="none"/>
    </x:fill>
    <x:fill>
      <x:patternFill patternType="gray125"/>
    </x:fill>
    <x:fill>
      <x:patternFill patternType="solid">
        <x:fgColor rgb="FF1F4E79"/>
      </x:patternFill>
    </x:fill>
    <x:fill>
      <x:patternFill patternType="solid">
        <x:fgColor rgb="FFFFF2CC"/>
      </x:patternFill>
    </x:fill>
    <x:fill>
      <x:patternFill patternType="solid">
        <x:fgColor rgb="FFF2F2F2"/>
      </x:patternFill>
    </x:fill>
  </x:fills>
  <x:borders count="2">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4">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0" borderId="0" xfId="0" applyFont="1" applyBorder="0" applyAlignment="1">
      <x:alignment horizontal="general" vertical="top" wrapText="1"/>
    </x:xf>
    <x:xf numFmtId="164" fontId="5" fillId="0" borderId="0" xfId="0" applyFont="1" applyBorder="0" applyAlignment="1">
      <x:alignment horizontal="general" vertical="top" wrapText="1"/>
    </x:xf>
    <x:xf numFmtId="164" fontId="6" fillId="0" borderId="0" xfId="0" applyFont="1" applyBorder="0" applyAlignment="1">
      <x:alignment horizontal="general" vertical="top" wrapText="1"/>
    </x:xf>
    <x:xf numFmtId="164" fontId="4" fillId="0" borderId="0" xfId="0" applyFont="1" applyBorder="0" applyAlignment="1">
      <x:alignment horizontal="general" vertical="bottom" wrapText="0"/>
    </x:xf>
    <x:xf numFmtId="164" fontId="5" fillId="0" borderId="0" xfId="0" applyFont="1" applyBorder="0" applyAlignment="1">
      <x:alignment horizontal="general" vertical="bottom" wrapText="0"/>
    </x:xf>
    <x:xf numFmtId="164" fontId="7" fillId="2" borderId="1" xfId="0" applyFont="1" applyBorder="1" applyAlignment="1">
      <x:alignment horizontal="center" vertical="center" wrapText="0"/>
    </x:xf>
    <x:xf numFmtId="164" fontId="6" fillId="0" borderId="1" xfId="0" applyFont="1" applyBorder="1" applyAlignment="1">
      <x:alignment horizontal="center" vertical="center" wrapText="0"/>
    </x:xf>
    <x:xf numFmtId="164" fontId="5" fillId="0" borderId="1" xfId="0" applyFont="1" applyBorder="1" applyAlignment="1">
      <x:alignment horizontal="general" vertical="top" wrapText="1"/>
    </x:xf>
    <x:xf numFmtId="164" fontId="6" fillId="0" borderId="0" xfId="0" applyFont="1" applyBorder="0" applyAlignment="1">
      <x:alignment horizontal="general" vertical="bottom" wrapText="0"/>
    </x:xf>
    <x:xf numFmtId="164" fontId="5" fillId="0" borderId="0" xfId="0" applyFont="1" applyBorder="1" applyAlignment="1">
      <x:alignment horizontal="general" vertical="top" wrapText="1"/>
    </x:xf>
    <x:xf numFmtId="164" fontId="7" fillId="2" borderId="1" xfId="0" applyFont="1" applyBorder="1" applyAlignment="1">
      <x:alignment horizontal="center" vertical="center" wrapText="1"/>
    </x:xf>
    <x:xf numFmtId="164" fontId="5" fillId="3" borderId="1" xfId="0" applyFont="1" applyBorder="1" applyAlignment="1">
      <x:alignment horizontal="center" vertical="center" wrapText="0"/>
    </x:xf>
    <x:xf numFmtId="164" fontId="5" fillId="3" borderId="1" xfId="0" applyFont="1" applyBorder="1" applyAlignment="1">
      <x:alignment horizontal="general" vertical="top" wrapText="1"/>
    </x:xf>
    <x:xf numFmtId="164" fontId="5" fillId="4" borderId="1" xfId="0" applyFont="1" applyBorder="1" applyAlignment="1">
      <x:alignment horizontal="general" vertical="top" wrapText="1"/>
    </x:xf>
    <x:xf numFmtId="164" fontId="6" fillId="0" borderId="0" xfId="0" applyFont="1" applyBorder="1" applyAlignment="1">
      <x:alignment horizontal="general" vertical="bottom" wrapText="0"/>
    </x:xf>
    <x:xf numFmtId="164" fontId="5" fillId="0" borderId="0" xfId="0" applyFont="1" applyBorder="1" applyAlignment="1">
      <x:alignment horizontal="general" vertical="bottom" wrapText="0"/>
    </x:xf>
    <x:xf numFmtId="164" fontId="8" fillId="0" borderId="1" xfId="0" applyFont="1" applyBorder="1" applyAlignment="1">
      <x:alignment horizontal="center" vertical="center" wrapText="0"/>
    </x:xf>
    <x:xf numFmtId="164" fontId="8" fillId="0" borderId="1" xfId="0" applyFont="1" applyBorder="1" applyAlignment="1">
      <x:alignment horizontal="general" vertical="top" wrapText="1"/>
    </x:xf>
    <x:xf numFmtId="165" fontId="5" fillId="0" borderId="1" xfId="0" applyFont="1" applyBorder="1" applyAlignment="1">
      <x:alignment horizontal="center" vertical="center" wrapText="0"/>
    </x:xf>
    <x:xf numFmtId="166" fontId="5" fillId="0" borderId="1" xfId="0" applyFont="1" applyBorder="1" applyAlignment="1">
      <x:alignment horizontal="center" vertical="center" wrapText="0"/>
    </x:xf>
    <x:xf numFmtId="167" fontId="5" fillId="0" borderId="1" xfId="0" applyFont="1" applyBorder="1" applyAlignment="1">
      <x:alignment horizontal="center" vertical="center" wrapText="0"/>
    </x:xf>
    <x:xf numFmtId="164" fontId="6" fillId="0" borderId="1" xfId="0" applyFont="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5">
    <x:dxf>
      <x:fill>
        <x:patternFill>
          <x:bgColor rgb="FF1F4E79"/>
        </x:patternFill>
      </x:fill>
    </x:dxf>
    <x:dxf>
      <x:fill>
        <x:patternFill>
          <x:bgColor rgb="FFF2F2F2"/>
        </x:patternFill>
      </x:fill>
    </x:dxf>
    <x:dxf>
      <x:fill>
        <x:patternFill>
          <x:bgColor rgb="FF000000"/>
        </x:patternFill>
      </x:fill>
    </x:dxf>
    <x:dxf>
      <x:fill>
        <x:patternFill>
          <x:bgColor rgb="FFFFFFFF"/>
        </x:patternFill>
      </x:fill>
    </x:dxf>
    <x:dxf>
      <x:fill>
        <x:patternFill>
          <x:bgColor rgb="FFFFF2C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F2F2F2"/>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E7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f188825e0c4e71" /><Relationship Type="http://schemas.openxmlformats.org/officeDocument/2006/relationships/theme" Target="/xl/theme/theme1.xml" Id="R20cf4e600ea047ec" /><Relationship Type="http://schemas.openxmlformats.org/officeDocument/2006/relationships/sharedStrings" Target="/xl/sharedStrings.xml" Id="Rd7f33e008cc44fd2" /><Relationship Type="http://schemas.openxmlformats.org/officeDocument/2006/relationships/worksheet" Target="/xl/worksheets/sheet1.xml" Id="Re6160e6331cd43eb" /><Relationship Type="http://schemas.openxmlformats.org/officeDocument/2006/relationships/worksheet" Target="/xl/worksheets/sheet2.xml" Id="Rf96823ebd46843d7" /><Relationship Type="http://schemas.openxmlformats.org/officeDocument/2006/relationships/worksheet" Target="/xl/worksheets/sheet3.xml" Id="Ra356d1ce03374a9e" /><Relationship Type="http://schemas.openxmlformats.org/officeDocument/2006/relationships/worksheet" Target="/xl/worksheets/sheet4.xml" Id="Rff7ffe11c93c4351"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10" style="1" hidden="0" customWidth="1"/>
  </x:cols>
  <x:sheetData>
    <x:row r="1" ht="21.75" hidden="0" customHeight="1">
      <x:c r="A1" s="2" t="s">
        <x:v>0</x:v>
      </x:c>
    </x:row>
    <x:row r="2" ht="15" hidden="0" customHeight="1">
      <x:c r="A2" s="3"/>
    </x:row>
    <x:row r="3" ht="15" hidden="0" customHeight="1">
      <x:c r="A3" s="3" t="s">
        <x:v>1</x:v>
      </x:c>
    </x:row>
    <x:row r="4" ht="15" hidden="0" customHeight="1">
      <x:c r="A4" s="3"/>
    </x:row>
    <x:row r="5" ht="15" hidden="0" customHeight="1">
      <x:c r="A5" s="4" t="s">
        <x:v>2</x:v>
      </x:c>
    </x:row>
    <x:row r="6" ht="34.5" hidden="0" customHeight="1">
      <x:c r="A6" s="3" t="s">
        <x:v>3</x:v>
      </x:c>
    </x:row>
    <x:row r="7" ht="15" hidden="0" customHeight="1">
      <x:c r="A7" s="3"/>
    </x:row>
    <x:row r="8" ht="15" hidden="0" customHeight="1">
      <x:c r="A8" s="4" t="s">
        <x:v>4</x:v>
      </x:c>
    </x:row>
    <x:row r="9" ht="15" hidden="0" customHeight="1">
      <x:c r="A9" s="3" t="s">
        <x:v>5</x:v>
      </x:c>
    </x:row>
    <x:row r="10" ht="15" hidden="0" customHeight="1">
      <x:c r="A10" s="3" t="s">
        <x:v>6</x:v>
      </x:c>
    </x:row>
    <x:row r="11" ht="23.25" hidden="0" customHeight="1">
      <x:c r="A11" s="3" t="s">
        <x:v>7</x:v>
      </x:c>
    </x:row>
    <x:row r="12" ht="15" hidden="0" customHeight="1">
      <x:c r="A12" s="3" t="s">
        <x:v>8</x:v>
      </x:c>
    </x:row>
    <x:row r="13" ht="15" hidden="0" customHeight="1">
      <x:c r="A13" s="3"/>
    </x:row>
    <x:row r="14" ht="15" hidden="0" customHeight="1">
      <x:c r="A14" s="4" t="s">
        <x:v>9</x:v>
      </x:c>
    </x:row>
    <x:row r="15" ht="15" hidden="0" customHeight="1">
      <x:c r="A15" s="3" t="s">
        <x:v>10</x:v>
      </x:c>
    </x:row>
    <x:row r="16" ht="15" hidden="0" customHeight="1">
      <x:c r="A16" s="3" t="s">
        <x:v>11</x:v>
      </x:c>
    </x:row>
    <x:row r="17" ht="15" hidden="0" customHeight="1">
      <x:c r="A17" s="3" t="s">
        <x:v>12</x:v>
      </x:c>
    </x:row>
    <x:row r="18" ht="15" hidden="0" customHeight="1">
      <x:c r="A18" s="3" t="s">
        <x:v>13</x:v>
      </x:c>
    </x:row>
    <x:row r="19" ht="15" hidden="0" customHeight="1">
      <x:c r="A19" s="3"/>
    </x:row>
    <x:row r="20" ht="15" hidden="0" customHeight="1">
      <x:c r="A20" s="3" t="s">
        <x:v>14</x:v>
      </x:c>
    </x:row>
    <x:row r="21" ht="15" hidden="0" customHeight="1">
      <x:c r="A21" s="3"/>
    </x:row>
    <x:row r="22" ht="23.25" hidden="0" customHeight="1">
      <x:c r="A22" s="3" t="s">
        <x:v>15</x:v>
      </x:c>
    </x:row>
    <x:row r="23" ht="15" hidden="0" customHeight="1">
      <x:c r="A23" s="3"/>
    </x:row>
    <x:row r="24" ht="15" hidden="0" customHeight="1">
      <x:c r="A24" s="3" t="s">
        <x:v>16</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9" style="1" hidden="0" customWidth="1"/>
    <x:col min="2" max="2" width="52" style="1" hidden="0" customWidth="1"/>
    <x:col min="3" max="3" width="68" style="1" hidden="0" customWidth="1"/>
  </x:cols>
  <x:sheetData>
    <x:row r="1" ht="17.25" hidden="0" customHeight="1">
      <x:c r="A1" s="5" t="s">
        <x:v>17</x:v>
      </x:c>
    </x:row>
    <x:row r="2" ht="15" hidden="0" customHeight="1">
      <x:c r="A2" s="6" t="s">
        <x:v>18</x:v>
      </x:c>
    </x:row>
    <x:row r="4" ht="15" hidden="0" customHeight="1">
      <x:c r="A4" s="7" t="s">
        <x:v>19</x:v>
      </x:c>
      <x:c r="B4" s="7" t="s">
        <x:v>20</x:v>
      </x:c>
      <x:c r="C4" s="7" t="s">
        <x:v>21</x:v>
      </x:c>
    </x:row>
    <x:row r="5" ht="78" hidden="0" customHeight="1">
      <x:c r="A5" s="8" t="s">
        <x:v>22</x:v>
      </x:c>
      <x:c r="B5" s="9" t="s">
        <x:v>23</x:v>
      </x:c>
      <x:c r="C5" s="9" t="s">
        <x:v>24</x:v>
      </x:c>
    </x:row>
    <x:row r="6" ht="78" hidden="0" customHeight="1">
      <x:c r="A6" s="8" t="s">
        <x:v>25</x:v>
      </x:c>
      <x:c r="B6" s="9" t="s">
        <x:v>26</x:v>
      </x:c>
      <x:c r="C6" s="9" t="s">
        <x:v>27</x:v>
      </x:c>
    </x:row>
    <x:row r="7" ht="78" hidden="0" customHeight="1">
      <x:c r="A7" s="8" t="s">
        <x:v>28</x:v>
      </x:c>
      <x:c r="B7" s="9" t="s">
        <x:v>29</x:v>
      </x:c>
      <x:c r="C7" s="9" t="s">
        <x:v>30</x:v>
      </x:c>
    </x:row>
    <x:row r="8" ht="78" hidden="0" customHeight="1">
      <x:c r="A8" s="8" t="s">
        <x:v>31</x:v>
      </x:c>
      <x:c r="B8" s="9" t="s">
        <x:v>32</x:v>
      </x:c>
      <x:c r="C8" s="9" t="s">
        <x:v>33</x:v>
      </x:c>
    </x:row>
    <x:row r="9" ht="78" hidden="0" customHeight="1">
      <x:c r="A9" s="8" t="s">
        <x:v>34</x:v>
      </x:c>
      <x:c r="B9" s="9" t="s">
        <x:v>35</x:v>
      </x:c>
      <x:c r="C9" s="9" t="s">
        <x:v>36</x:v>
      </x:c>
    </x:row>
    <x:row r="10" ht="78" hidden="0" customHeight="1">
      <x:c r="A10" s="8" t="s">
        <x:v>37</x:v>
      </x:c>
      <x:c r="B10" s="9" t="s">
        <x:v>38</x:v>
      </x:c>
      <x:c r="C10" s="9" t="s">
        <x:v>39</x:v>
      </x:c>
    </x:row>
    <x:row r="12" ht="15" hidden="0" customHeight="1">
      <x:c r="A12" s="10" t="s">
        <x:v>40</x:v>
      </x:c>
    </x:row>
    <x:row r="13" ht="23.25" hidden="0" customHeight="1">
      <x:c r="A13" s="11" t="s">
        <x:v>41</x:v>
      </x:c>
      <x:c r="B13" s="11"/>
      <x:c r="C13" s="11"/>
    </x:row>
  </x:sheetData>
  <x:mergeCells>
    <x:mergeCell ref="A13:C13"/>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8" ySplit="1" topLeftCell="I2" activePane="bottomRight" state="frozen"/>
    </x:sheetView>
  </x:sheetViews>
  <x:sheetFormatPr defaultColWidth="8.6796875" defaultRowHeight="15"/>
  <x:cols>
    <x:col min="1" max="1" width="7" style="1" hidden="0" customWidth="1"/>
    <x:col min="2" max="2" width="24" style="1" hidden="0" customWidth="1"/>
    <x:col min="3" max="3" width="34" style="1" hidden="0" customWidth="1"/>
    <x:col min="4" max="4" width="7" style="1" hidden="0" customWidth="1"/>
    <x:col min="5" max="5" width="58" style="1" hidden="0" customWidth="1"/>
    <x:col min="6" max="6" width="28" style="1" hidden="0" customWidth="1"/>
    <x:col min="7" max="7" width="14" style="1" hidden="0" customWidth="1"/>
    <x:col min="8" max="8" width="30" style="1" hidden="0" customWidth="1"/>
    <x:col min="9" max="10" width="14" style="1" hidden="0" customWidth="1"/>
    <x:col min="11" max="11" width="16" style="1" hidden="0" customWidth="1"/>
    <x:col min="12" max="12" width="14" style="1" hidden="0" customWidth="1"/>
    <x:col min="13" max="13" width="15" style="1" hidden="0" customWidth="1"/>
    <x:col min="14" max="14" width="16" style="1" hidden="0" customWidth="1"/>
    <x:col min="15" max="15" width="14" style="1" hidden="0" customWidth="1"/>
    <x:col min="16" max="16" width="52" style="1" hidden="0" customWidth="1"/>
  </x:cols>
  <x:sheetData>
    <x:row r="1" ht="45.75" hidden="0" customHeight="1">
      <x:c r="A1" s="12" t="s">
        <x:v>42</x:v>
      </x:c>
      <x:c r="B1" s="12" t="s">
        <x:v>43</x:v>
      </x:c>
      <x:c r="C1" s="12" t="s">
        <x:v>44</x:v>
      </x:c>
      <x:c r="D1" s="12" t="s">
        <x:v>45</x:v>
      </x:c>
      <x:c r="E1" s="12" t="s">
        <x:v>46</x:v>
      </x:c>
      <x:c r="F1" s="12" t="s">
        <x:v>47</x:v>
      </x:c>
      <x:c r="G1" s="12" t="s">
        <x:v>48</x:v>
      </x:c>
      <x:c r="H1" s="12" t="s">
        <x:v>49</x:v>
      </x:c>
      <x:c r="I1" s="12" t="s">
        <x:v>50</x:v>
      </x:c>
      <x:c r="J1" s="12" t="s">
        <x:v>51</x:v>
      </x:c>
      <x:c r="K1" s="12" t="s">
        <x:v>52</x:v>
      </x:c>
      <x:c r="L1" s="12" t="s">
        <x:v>53</x:v>
      </x:c>
      <x:c r="M1" s="12" t="s">
        <x:v>54</x:v>
      </x:c>
      <x:c r="N1" s="12" t="s">
        <x:v>55</x:v>
      </x:c>
      <x:c r="O1" s="12" t="s">
        <x:v>56</x:v>
      </x:c>
      <x:c r="P1" s="12" t="s">
        <x:v>57</x:v>
      </x:c>
    </x:row>
    <x:row r="2" ht="30" hidden="0" customHeight="1">
      <x:c r="A2" s="9" t="s">
        <x:v>58</x:v>
      </x:c>
      <x:c r="B2" s="9" t="s">
        <x:v>59</x:v>
      </x:c>
      <x:c r="C2" s="9" t="s">
        <x:v>60</x:v>
      </x:c>
      <x:c r="D2" s="9" t="n">
        <x:v>2019</x:v>
      </x:c>
      <x:c r="E2" s="9" t="s">
        <x:v>61</x:v>
      </x:c>
      <x:c r="F2" s="9" t="s">
        <x:v>62</x:v>
      </x:c>
      <x:c r="G2" s="9" t="s">
        <x:v>63</x:v>
      </x:c>
      <x:c r="H2" s="9" t="s">
        <x:v>64</x:v>
      </x:c>
      <x:c r="I2" s="13" t="str">
        <x:v>Yes</x:v>
      </x:c>
      <x:c r="J2" s="13" t="str">
        <x:v>Yes</x:v>
      </x:c>
      <x:c r="K2" s="13" t="str">
        <x:v>Yes</x:v>
      </x:c>
      <x:c r="L2" s="13" t="str">
        <x:v>Yes</x:v>
      </x:c>
      <x:c r="M2" s="13" t="str">
        <x:v>Yes</x:v>
      </x:c>
      <x:c r="N2" s="13" t="str">
        <x:v>Yes</x:v>
      </x:c>
      <x:c r="O2" s="13" t="n">
        <x:v>4</x:v>
      </x:c>
      <x:c r="P2" s="14" t="str">
        <x:v>Include — Meets all six criteria. Full peer-reviewed journal review centered on RL for autonomous building energy management and operational control.</x:v>
      </x:c>
    </x:row>
    <x:row r="3" ht="30" hidden="0" customHeight="1">
      <x:c r="A3" s="15" t="s">
        <x:v>65</x:v>
      </x:c>
      <x:c r="B3" s="15" t="s">
        <x:v>66</x:v>
      </x:c>
      <x:c r="C3" s="15" t="s">
        <x:v>67</x:v>
      </x:c>
      <x:c r="D3" s="15" t="n">
        <x:v>2020</x:v>
      </x:c>
      <x:c r="E3" s="15" t="s">
        <x:v>68</x:v>
      </x:c>
      <x:c r="F3" s="15" t="s">
        <x:v>69</x:v>
      </x:c>
      <x:c r="G3" s="15" t="s">
        <x:v>70</x:v>
      </x:c>
      <x:c r="H3" s="15" t="s">
        <x:v>71</x:v>
      </x:c>
      <x:c r="I3" s="13" t="str">
        <x:v>Yes</x:v>
      </x:c>
      <x:c r="J3" s="13" t="str">
        <x:v>Yes</x:v>
      </x:c>
      <x:c r="K3" s="13" t="str">
        <x:v>Yes</x:v>
      </x:c>
      <x:c r="L3" s="13" t="str">
        <x:v>Yes</x:v>
      </x:c>
      <x:c r="M3" s="13" t="str">
        <x:v>Yes</x:v>
      </x:c>
      <x:c r="N3" s="13" t="str">
        <x:v>Yes</x:v>
      </x:c>
      <x:c r="O3" s="13" t="n">
        <x:v>4</x:v>
      </x:c>
      <x:c r="P3" s="14" t="str">
        <x:v>Include — Meets all six criteria. The review organizes its synthesis around RL opportunities and challenges for building controls, including HVAC and energy-management actions.</x:v>
      </x:c>
    </x:row>
    <x:row r="4" ht="30" hidden="0" customHeight="1">
      <x:c r="A4" s="9" t="s">
        <x:v>72</x:v>
      </x:c>
      <x:c r="B4" s="9" t="s">
        <x:v>73</x:v>
      </x:c>
      <x:c r="C4" s="9" t="s">
        <x:v>74</x:v>
      </x:c>
      <x:c r="D4" s="9" t="n">
        <x:v>2021</x:v>
      </x:c>
      <x:c r="E4" s="9" t="s">
        <x:v>75</x:v>
      </x:c>
      <x:c r="F4" s="9" t="s">
        <x:v>76</x:v>
      </x:c>
      <x:c r="G4" s="9" t="s">
        <x:v>77</x:v>
      </x:c>
      <x:c r="H4" s="9" t="s">
        <x:v>78</x:v>
      </x:c>
      <x:c r="I4" s="13" t="str">
        <x:v>Yes</x:v>
      </x:c>
      <x:c r="J4" s="13" t="str">
        <x:v>Yes</x:v>
      </x:c>
      <x:c r="K4" s="13" t="str">
        <x:v>Yes</x:v>
      </x:c>
      <x:c r="L4" s="13" t="str">
        <x:v>Yes</x:v>
      </x:c>
      <x:c r="M4" s="13" t="str">
        <x:v>Yes</x:v>
      </x:c>
      <x:c r="N4" s="13" t="str">
        <x:v>Yes</x:v>
      </x:c>
      <x:c r="O4" s="13" t="n">
        <x:v>3</x:v>
      </x:c>
      <x:c r="P4" s="14" t="str">
        <x:v>Include — Borderline C5. The paper reviews occupant behaviour, but Sections 2–3 and Tables 1–3 connect RL to operational control through HVAC, lighting, windows and appliance actions rather than standalone behaviour simulation.</x:v>
      </x:c>
    </x:row>
    <x:row r="5" ht="30" hidden="0" customHeight="1">
      <x:c r="A5" s="15" t="s">
        <x:v>79</x:v>
      </x:c>
      <x:c r="B5" s="15" t="s">
        <x:v>80</x:v>
      </x:c>
      <x:c r="C5" s="15" t="s">
        <x:v>81</x:v>
      </x:c>
      <x:c r="D5" s="15" t="n">
        <x:v>2021</x:v>
      </x:c>
      <x:c r="E5" s="15" t="s">
        <x:v>82</x:v>
      </x:c>
      <x:c r="F5" s="15" t="s">
        <x:v>83</x:v>
      </x:c>
      <x:c r="G5" s="15" t="s">
        <x:v>84</x:v>
      </x:c>
      <x:c r="H5" s="15" t="s">
        <x:v>85</x:v>
      </x:c>
      <x:c r="I5" s="13" t="str">
        <x:v>Yes</x:v>
      </x:c>
      <x:c r="J5" s="13" t="str">
        <x:v>Yes</x:v>
      </x:c>
      <x:c r="K5" s="13" t="str">
        <x:v>Yes</x:v>
      </x:c>
      <x:c r="L5" s="13" t="str">
        <x:v>Yes</x:v>
      </x:c>
      <x:c r="M5" s="13" t="str">
        <x:v>Yes</x:v>
      </x:c>
      <x:c r="N5" s="13" t="str">
        <x:v>Yes</x:v>
      </x:c>
      <x:c r="O5" s="13" t="n">
        <x:v>4</x:v>
      </x:c>
      <x:c r="P5" s="14" t="str">
        <x:v>Include — Meets all six criteria. DRL is the organizing method and smart-building energy management is the central application, with operational control objectives and actions synthesized throughout.</x:v>
      </x:c>
    </x:row>
    <x:row r="6" ht="30" hidden="0" customHeight="1">
      <x:c r="A6" s="9" t="s">
        <x:v>86</x:v>
      </x:c>
      <x:c r="B6" s="9" t="s">
        <x:v>87</x:v>
      </x:c>
      <x:c r="C6" s="9" t="s">
        <x:v>88</x:v>
      </x:c>
      <x:c r="D6" s="9" t="n">
        <x:v>2022</x:v>
      </x:c>
      <x:c r="E6" s="9" t="s">
        <x:v>89</x:v>
      </x:c>
      <x:c r="F6" s="9" t="s">
        <x:v>90</x:v>
      </x:c>
      <x:c r="G6" s="9" t="s">
        <x:v>91</x:v>
      </x:c>
      <x:c r="H6" s="9" t="s">
        <x:v>92</x:v>
      </x:c>
      <x:c r="I6" s="13" t="str">
        <x:v>Yes</x:v>
      </x:c>
      <x:c r="J6" s="13" t="str">
        <x:v>Yes</x:v>
      </x:c>
      <x:c r="K6" s="13" t="str">
        <x:v>Yes</x:v>
      </x:c>
      <x:c r="L6" s="13" t="str">
        <x:v>Yes</x:v>
      </x:c>
      <x:c r="M6" s="13" t="str">
        <x:v>Yes</x:v>
      </x:c>
      <x:c r="N6" s="13" t="str">
        <x:v>Yes</x:v>
      </x:c>
      <x:c r="O6" s="13" t="n">
        <x:v>4</x:v>
      </x:c>
      <x:c r="P6" s="14" t="str">
        <x:v>Include — Meets all six criteria. Journal review focused on RL theory and applications in home energy-management systems, including controllable loads and storage.</x:v>
      </x:c>
    </x:row>
    <x:row r="7" ht="30" hidden="0" customHeight="1">
      <x:c r="A7" s="15" t="s">
        <x:v>93</x:v>
      </x:c>
      <x:c r="B7" s="15" t="s">
        <x:v>94</x:v>
      </x:c>
      <x:c r="C7" s="15" t="s">
        <x:v>95</x:v>
      </x:c>
      <x:c r="D7" s="15" t="n">
        <x:v>2022</x:v>
      </x:c>
      <x:c r="E7" s="15" t="s">
        <x:v>96</x:v>
      </x:c>
      <x:c r="F7" s="15" t="s">
        <x:v>97</x:v>
      </x:c>
      <x:c r="G7" s="15" t="s">
        <x:v>98</x:v>
      </x:c>
      <x:c r="H7" s="15" t="s">
        <x:v>99</x:v>
      </x:c>
      <x:c r="I7" s="13" t="str">
        <x:v>Yes</x:v>
      </x:c>
      <x:c r="J7" s="13" t="str">
        <x:v>Yes</x:v>
      </x:c>
      <x:c r="K7" s="13" t="str">
        <x:v>Yes</x:v>
      </x:c>
      <x:c r="L7" s="13" t="str">
        <x:v>Yes</x:v>
      </x:c>
      <x:c r="M7" s="13" t="str">
        <x:v>Yes</x:v>
      </x:c>
      <x:c r="N7" s="13" t="str">
        <x:v>Yes</x:v>
      </x:c>
      <x:c r="O7" s="13" t="n">
        <x:v>4</x:v>
      </x:c>
      <x:c r="P7" s="14" t="str">
        <x:v>Include — Meets all six criteria. The review is centrally about RL for building energy-efficiency control and synthesizes building-level operational decisions.</x:v>
      </x:c>
    </x:row>
    <x:row r="8" ht="30" hidden="0" customHeight="1">
      <x:c r="A8" s="9" t="s">
        <x:v>100</x:v>
      </x:c>
      <x:c r="B8" s="9" t="s">
        <x:v>101</x:v>
      </x:c>
      <x:c r="C8" s="9" t="s">
        <x:v>102</x:v>
      </x:c>
      <x:c r="D8" s="9" t="n">
        <x:v>2022</x:v>
      </x:c>
      <x:c r="E8" s="9" t="s">
        <x:v>103</x:v>
      </x:c>
      <x:c r="F8" s="9" t="s">
        <x:v>90</x:v>
      </x:c>
      <x:c r="G8" s="9" t="s">
        <x:v>104</x:v>
      </x:c>
      <x:c r="H8" s="9" t="s">
        <x:v>105</x:v>
      </x:c>
      <x:c r="I8" s="13" t="str">
        <x:v>Yes</x:v>
      </x:c>
      <x:c r="J8" s="13" t="str">
        <x:v>Yes</x:v>
      </x:c>
      <x:c r="K8" s="13" t="str">
        <x:v>Yes</x:v>
      </x:c>
      <x:c r="L8" s="13" t="str">
        <x:v>Yes</x:v>
      </x:c>
      <x:c r="M8" s="13" t="str">
        <x:v>Yes</x:v>
      </x:c>
      <x:c r="N8" s="13" t="str">
        <x:v>Yes</x:v>
      </x:c>
      <x:c r="O8" s="13" t="n">
        <x:v>4</x:v>
      </x:c>
      <x:c r="P8" s="14" t="str">
        <x:v>Include — Meets all six criteria. Systematic journal review centered on DRL-based energy management across building types, with building control as the principal synthesis.</x:v>
      </x:c>
    </x:row>
    <x:row r="9" ht="30" hidden="0" customHeight="1">
      <x:c r="A9" s="15" t="s">
        <x:v>106</x:v>
      </x:c>
      <x:c r="B9" s="15" t="s">
        <x:v>107</x:v>
      </x:c>
      <x:c r="C9" s="15" t="s">
        <x:v>108</x:v>
      </x:c>
      <x:c r="D9" s="15" t="n">
        <x:v>2022</x:v>
      </x:c>
      <x:c r="E9" s="15" t="s">
        <x:v>109</x:v>
      </x:c>
      <x:c r="F9" s="15" t="s">
        <x:v>90</x:v>
      </x:c>
      <x:c r="G9" s="15" t="s">
        <x:v>110</x:v>
      </x:c>
      <x:c r="H9" s="15" t="s">
        <x:v>111</x:v>
      </x:c>
      <x:c r="I9" s="13" t="str">
        <x:v>Yes</x:v>
      </x:c>
      <x:c r="J9" s="13" t="str">
        <x:v>Yes</x:v>
      </x:c>
      <x:c r="K9" s="13" t="str">
        <x:v>Yes</x:v>
      </x:c>
      <x:c r="L9" s="13" t="str">
        <x:v>Yes</x:v>
      </x:c>
      <x:c r="M9" s="13" t="str">
        <x:v>Yes</x:v>
      </x:c>
      <x:c r="N9" s="13" t="str">
        <x:v>Yes</x:v>
      </x:c>
      <x:c r="O9" s="13" t="n">
        <x:v>4</x:v>
      </x:c>
      <x:c r="P9" s="14" t="str">
        <x:v>Include — Meets all six criteria. The review focuses specifically on RL applications for operational HVAC control in buildings.</x:v>
      </x:c>
    </x:row>
    <x:row r="10" ht="30" hidden="0" customHeight="1">
      <x:c r="A10" s="9" t="s">
        <x:v>112</x:v>
      </x:c>
      <x:c r="B10" s="9" t="s">
        <x:v>113</x:v>
      </x:c>
      <x:c r="C10" s="9" t="s">
        <x:v>114</x:v>
      </x:c>
      <x:c r="D10" s="9" t="n">
        <x:v>2022</x:v>
      </x:c>
      <x:c r="E10" s="9" t="s">
        <x:v>115</x:v>
      </x:c>
      <x:c r="F10" s="9" t="s">
        <x:v>116</x:v>
      </x:c>
      <x:c r="G10" s="9" t="s">
        <x:v>117</x:v>
      </x:c>
      <x:c r="H10" s="9" t="s">
        <x:v>118</x:v>
      </x:c>
      <x:c r="I10" s="13" t="str">
        <x:v>Yes</x:v>
      </x:c>
      <x:c r="J10" s="13" t="str">
        <x:v>Yes</x:v>
      </x:c>
      <x:c r="K10" s="13" t="str">
        <x:v>Yes</x:v>
      </x:c>
      <x:c r="L10" s="13" t="str">
        <x:v>Yes</x:v>
      </x:c>
      <x:c r="M10" s="13" t="str">
        <x:v>Yes</x:v>
      </x:c>
      <x:c r="N10" s="13" t="str">
        <x:v>Yes</x:v>
      </x:c>
      <x:c r="O10" s="13" t="n">
        <x:v>3</x:v>
      </x:c>
      <x:c r="P10" s="14" t="str">
        <x:v>Include — Borderline C2 because MPC receives substantial coverage. RL remains a central co-organizing subject: Section IV reviews RL in BEMS and Section V compares RL- and MPC-based methods for building control.</x:v>
      </x:c>
    </x:row>
    <x:row r="11" ht="30" hidden="0" customHeight="1">
      <x:c r="A11" s="15" t="s">
        <x:v>119</x:v>
      </x:c>
      <x:c r="B11" s="15" t="s">
        <x:v>120</x:v>
      </x:c>
      <x:c r="C11" s="15" t="s">
        <x:v>121</x:v>
      </x:c>
      <x:c r="D11" s="15" t="n">
        <x:v>2023</x:v>
      </x:c>
      <x:c r="E11" s="15" t="s">
        <x:v>122</x:v>
      </x:c>
      <x:c r="F11" s="15" t="s">
        <x:v>123</x:v>
      </x:c>
      <x:c r="G11" s="15" t="s">
        <x:v>124</x:v>
      </x:c>
      <x:c r="H11" s="15" t="s">
        <x:v>125</x:v>
      </x:c>
      <x:c r="I11" s="13" t="str">
        <x:v>Yes</x:v>
      </x:c>
      <x:c r="J11" s="13" t="str">
        <x:v>Yes</x:v>
      </x:c>
      <x:c r="K11" s="13" t="str">
        <x:v>Yes</x:v>
      </x:c>
      <x:c r="L11" s="13" t="str">
        <x:v>Yes</x:v>
      </x:c>
      <x:c r="M11" s="13" t="str">
        <x:v>Yes</x:v>
      </x:c>
      <x:c r="N11" s="13" t="str">
        <x:v>Yes</x:v>
      </x:c>
      <x:c r="O11" s="13" t="n">
        <x:v>4</x:v>
      </x:c>
      <x:c r="P11" s="14" t="str">
        <x:v>Include — Meets all six criteria. Full journal review centered on RL control of building energy systems, with a separable computer-science synthesis of agents, states, actions and rewards.</x:v>
      </x:c>
    </x:row>
    <x:row r="12" ht="30" hidden="0" customHeight="1">
      <x:c r="A12" s="9" t="s">
        <x:v>126</x:v>
      </x:c>
      <x:c r="B12" s="9" t="s">
        <x:v>127</x:v>
      </x:c>
      <x:c r="C12" s="9" t="s">
        <x:v>128</x:v>
      </x:c>
      <x:c r="D12" s="9" t="n">
        <x:v>2023</x:v>
      </x:c>
      <x:c r="E12" s="9" t="s">
        <x:v>129</x:v>
      </x:c>
      <x:c r="F12" s="9" t="s">
        <x:v>130</x:v>
      </x:c>
      <x:c r="G12" s="9" t="s">
        <x:v>131</x:v>
      </x:c>
      <x:c r="H12" s="9" t="s">
        <x:v>132</x:v>
      </x:c>
      <x:c r="I12" s="13" t="str">
        <x:v>Yes</x:v>
      </x:c>
      <x:c r="J12" s="13" t="str">
        <x:v>Yes</x:v>
      </x:c>
      <x:c r="K12" s="13" t="str">
        <x:v>Yes</x:v>
      </x:c>
      <x:c r="L12" s="13" t="str">
        <x:v>Yes</x:v>
      </x:c>
      <x:c r="M12" s="13" t="str">
        <x:v>Yes</x:v>
      </x:c>
      <x:c r="N12" s="13" t="str">
        <x:v>Yes</x:v>
      </x:c>
      <x:c r="O12" s="13" t="n">
        <x:v>3</x:v>
      </x:c>
      <x:c r="P12" s="14" t="str">
        <x:v>Include — Borderline C1 because the title emphasizes opportunities and challenges rather than 'review'. The full article uses a review methodology (Section 2), synthesizes RL control studies in Section 4 and compares them in Tables 3–4.</x:v>
      </x:c>
    </x:row>
    <x:row r="13" ht="30" hidden="0" customHeight="1">
      <x:c r="A13" s="15" t="s">
        <x:v>133</x:v>
      </x:c>
      <x:c r="B13" s="15" t="s">
        <x:v>134</x:v>
      </x:c>
      <x:c r="C13" s="15" t="s">
        <x:v>135</x:v>
      </x:c>
      <x:c r="D13" s="15" t="n">
        <x:v>2024</x:v>
      </x:c>
      <x:c r="E13" s="15" t="s">
        <x:v>136</x:v>
      </x:c>
      <x:c r="F13" s="15" t="s">
        <x:v>97</x:v>
      </x:c>
      <x:c r="G13" s="15" t="s">
        <x:v>137</x:v>
      </x:c>
      <x:c r="H13" s="15" t="s">
        <x:v>138</x:v>
      </x:c>
      <x:c r="I13" s="13" t="str">
        <x:v>Yes</x:v>
      </x:c>
      <x:c r="J13" s="13" t="str">
        <x:v>Yes</x:v>
      </x:c>
      <x:c r="K13" s="13" t="str">
        <x:v>Yes</x:v>
      </x:c>
      <x:c r="L13" s="13" t="str">
        <x:v>Yes</x:v>
      </x:c>
      <x:c r="M13" s="13" t="str">
        <x:v>Yes</x:v>
      </x:c>
      <x:c r="N13" s="13" t="str">
        <x:v>Yes</x:v>
      </x:c>
      <x:c r="O13" s="13" t="n">
        <x:v>4</x:v>
      </x:c>
      <x:c r="P13" s="14" t="str">
        <x:v>Include — Meets all six criteria. Technical and conceptual journal review centered on RL for HVAC control in intelligent buildings.</x:v>
      </x:c>
    </x:row>
    <x:row r="14" ht="30" hidden="0" customHeight="1">
      <x:c r="A14" s="9" t="s">
        <x:v>139</x:v>
      </x:c>
      <x:c r="B14" s="9" t="s">
        <x:v>140</x:v>
      </x:c>
      <x:c r="C14" s="9" t="s">
        <x:v>141</x:v>
      </x:c>
      <x:c r="D14" s="9" t="n">
        <x:v>2024</x:v>
      </x:c>
      <x:c r="E14" s="9" t="s">
        <x:v>142</x:v>
      </x:c>
      <x:c r="F14" s="9" t="s">
        <x:v>90</x:v>
      </x:c>
      <x:c r="G14" s="9" t="s">
        <x:v>143</x:v>
      </x:c>
      <x:c r="H14" s="9" t="s">
        <x:v>144</x:v>
      </x:c>
      <x:c r="I14" s="13" t="str">
        <x:v>Yes</x:v>
      </x:c>
      <x:c r="J14" s="13" t="str">
        <x:v>Yes</x:v>
      </x:c>
      <x:c r="K14" s="13" t="str">
        <x:v>Yes</x:v>
      </x:c>
      <x:c r="L14" s="13" t="str">
        <x:v>Yes</x:v>
      </x:c>
      <x:c r="M14" s="13" t="str">
        <x:v>Yes</x:v>
      </x:c>
      <x:c r="N14" s="13" t="str">
        <x:v>Yes</x:v>
      </x:c>
      <x:c r="O14" s="13" t="n">
        <x:v>3</x:v>
      </x:c>
      <x:c r="P14" s="14" t="str">
        <x:v>Include — Borderline C3/C4 because HEMS overlaps demand response and community coordination. Sections 3–4 and Table 3 provide a separable building/home-control synthesis with controllable appliances, storage and automation actions.</x:v>
      </x:c>
    </x:row>
    <x:row r="15" ht="30" hidden="0" customHeight="1">
      <x:c r="A15" s="15" t="s">
        <x:v>145</x:v>
      </x:c>
      <x:c r="B15" s="15" t="s">
        <x:v>146</x:v>
      </x:c>
      <x:c r="C15" s="15" t="s">
        <x:v>147</x:v>
      </x:c>
      <x:c r="D15" s="15" t="n">
        <x:v>2024</x:v>
      </x:c>
      <x:c r="E15" s="15" t="s">
        <x:v>148</x:v>
      </x:c>
      <x:c r="F15" s="15" t="s">
        <x:v>149</x:v>
      </x:c>
      <x:c r="G15" s="15" t="s">
        <x:v>150</x:v>
      </x:c>
      <x:c r="H15" s="15" t="s">
        <x:v>151</x:v>
      </x:c>
      <x:c r="I15" s="13" t="str">
        <x:v>Yes</x:v>
      </x:c>
      <x:c r="J15" s="13" t="str">
        <x:v>Yes</x:v>
      </x:c>
      <x:c r="K15" s="13" t="str">
        <x:v>Yes</x:v>
      </x:c>
      <x:c r="L15" s="13" t="str">
        <x:v>Yes</x:v>
      </x:c>
      <x:c r="M15" s="13" t="str">
        <x:v>Yes</x:v>
      </x:c>
      <x:c r="N15" s="13" t="str">
        <x:v>Yes</x:v>
      </x:c>
      <x:c r="O15" s="13" t="n">
        <x:v>4</x:v>
      </x:c>
      <x:c r="P15" s="14" t="str">
        <x:v>Include — Meets all six criteria. RL-based smart-home energy management with storage is the central subject and involves operational scheduling and storage-control actions.</x:v>
      </x:c>
    </x:row>
    <x:row r="16" ht="30" hidden="0" customHeight="1">
      <x:c r="A16" s="9" t="s">
        <x:v>152</x:v>
      </x:c>
      <x:c r="B16" s="9" t="s">
        <x:v>153</x:v>
      </x:c>
      <x:c r="C16" s="9" t="s">
        <x:v>154</x:v>
      </x:c>
      <x:c r="D16" s="9" t="n">
        <x:v>2025</x:v>
      </x:c>
      <x:c r="E16" s="9" t="s">
        <x:v>155</x:v>
      </x:c>
      <x:c r="F16" s="9" t="s">
        <x:v>156</x:v>
      </x:c>
      <x:c r="G16" s="9" t="s">
        <x:v>157</x:v>
      </x:c>
      <x:c r="H16" s="9" t="s">
        <x:v>158</x:v>
      </x:c>
      <x:c r="I16" s="13" t="str">
        <x:v>Yes</x:v>
      </x:c>
      <x:c r="J16" s="13" t="str">
        <x:v>Yes</x:v>
      </x:c>
      <x:c r="K16" s="13" t="str">
        <x:v>Yes</x:v>
      </x:c>
      <x:c r="L16" s="13" t="str">
        <x:v>Yes</x:v>
      </x:c>
      <x:c r="M16" s="13" t="str">
        <x:v>Yes</x:v>
      </x:c>
      <x:c r="N16" s="13" t="str">
        <x:v>Yes</x:v>
      </x:c>
      <x:c r="O16" s="13" t="n">
        <x:v>4</x:v>
      </x:c>
      <x:c r="P16" s="14" t="str">
        <x:v>Include — Meets all six criteria. Systematic review centered on multi-objective RL for smart-building control applications and their energy/comfort outcomes.</x:v>
      </x:c>
    </x:row>
    <x:row r="17" ht="30" hidden="0" customHeight="1">
      <x:c r="A17" s="15" t="s">
        <x:v>159</x:v>
      </x:c>
      <x:c r="B17" s="15" t="s">
        <x:v>160</x:v>
      </x:c>
      <x:c r="C17" s="15" t="s">
        <x:v>161</x:v>
      </x:c>
      <x:c r="D17" s="15" t="n">
        <x:v>2025</x:v>
      </x:c>
      <x:c r="E17" s="15" t="s">
        <x:v>162</x:v>
      </x:c>
      <x:c r="F17" s="15" t="s">
        <x:v>97</x:v>
      </x:c>
      <x:c r="G17" s="15" t="s">
        <x:v>163</x:v>
      </x:c>
      <x:c r="H17" s="15" t="s">
        <x:v>164</x:v>
      </x:c>
      <x:c r="I17" s="13" t="str">
        <x:v>Yes</x:v>
      </x:c>
      <x:c r="J17" s="13" t="str">
        <x:v>Yes</x:v>
      </x:c>
      <x:c r="K17" s="13" t="str">
        <x:v>Yes</x:v>
      </x:c>
      <x:c r="L17" s="13" t="str">
        <x:v>Yes</x:v>
      </x:c>
      <x:c r="M17" s="13" t="str">
        <x:v>Yes</x:v>
      </x:c>
      <x:c r="N17" s="13" t="str">
        <x:v>Yes</x:v>
      </x:c>
      <x:c r="O17" s="13" t="n">
        <x:v>3</x:v>
      </x:c>
      <x:c r="P17" s="14" t="str">
        <x:v>Include — Borderline C2 because Section 4 also surveys broader AI market solutions and the paper emphasizes deployment and ethics. RL remains central through the stated research questions, Section 2 and the real-building RL cases in Section 4.2 and Table 2.</x:v>
      </x:c>
    </x:row>
    <x:row r="18" ht="30" hidden="0" customHeight="1">
      <x:c r="A18" s="9" t="s">
        <x:v>165</x:v>
      </x:c>
      <x:c r="B18" s="9" t="s">
        <x:v>166</x:v>
      </x:c>
      <x:c r="C18" s="9" t="s">
        <x:v>167</x:v>
      </x:c>
      <x:c r="D18" s="9" t="n">
        <x:v>2025</x:v>
      </x:c>
      <x:c r="E18" s="9" t="s">
        <x:v>168</x:v>
      </x:c>
      <x:c r="F18" s="9" t="s">
        <x:v>90</x:v>
      </x:c>
      <x:c r="G18" s="9" t="s">
        <x:v>169</x:v>
      </x:c>
      <x:c r="H18" s="9" t="s">
        <x:v>170</x:v>
      </x:c>
      <x:c r="I18" s="13" t="str">
        <x:v>Yes</x:v>
      </x:c>
      <x:c r="J18" s="13" t="str">
        <x:v>Yes</x:v>
      </x:c>
      <x:c r="K18" s="13" t="str">
        <x:v>Yes</x:v>
      </x:c>
      <x:c r="L18" s="13" t="str">
        <x:v>Yes</x:v>
      </x:c>
      <x:c r="M18" s="13" t="str">
        <x:v>Yes</x:v>
      </x:c>
      <x:c r="N18" s="13" t="str">
        <x:v>Yes</x:v>
      </x:c>
      <x:c r="O18" s="13" t="n">
        <x:v>4</x:v>
      </x:c>
      <x:c r="P18" s="14" t="str">
        <x:v>Include — Meets all six criteria. The review centers on RL for operational use of renewable energy in buildings, including storage, load and building-side energy-management decisions.</x:v>
      </x:c>
    </x:row>
    <x:row r="19" ht="30" hidden="0" customHeight="1">
      <x:c r="A19" s="15" t="s">
        <x:v>171</x:v>
      </x:c>
      <x:c r="B19" s="15" t="s">
        <x:v>172</x:v>
      </x:c>
      <x:c r="C19" s="15" t="s">
        <x:v>173</x:v>
      </x:c>
      <x:c r="D19" s="15" t="n">
        <x:v>2025</x:v>
      </x:c>
      <x:c r="E19" s="15" t="s">
        <x:v>174</x:v>
      </x:c>
      <x:c r="F19" s="15" t="s">
        <x:v>175</x:v>
      </x:c>
      <x:c r="G19" s="15" t="s">
        <x:v>176</x:v>
      </x:c>
      <x:c r="H19" s="15" t="s">
        <x:v>177</x:v>
      </x:c>
      <x:c r="I19" s="13" t="str">
        <x:v>Yes</x:v>
      </x:c>
      <x:c r="J19" s="13" t="str">
        <x:v>Yes</x:v>
      </x:c>
      <x:c r="K19" s="13" t="str">
        <x:v>Yes</x:v>
      </x:c>
      <x:c r="L19" s="13" t="str">
        <x:v>Yes</x:v>
      </x:c>
      <x:c r="M19" s="13" t="str">
        <x:v>Yes</x:v>
      </x:c>
      <x:c r="N19" s="13" t="str">
        <x:v>Yes</x:v>
      </x:c>
      <x:c r="O19" s="13" t="n">
        <x:v>3</x:v>
      </x:c>
      <x:c r="P19" s="14" t="str">
        <x:v>Include — Borderline C5 because BIPV literature can concern design or sizing. This review explicitly focuses on RL-based operational scheduling and uncertainty optimization; Section 3 and Tables 1–2 synthesize actions such as inverter duty-cycle and storage charging/discharging.</x:v>
      </x:c>
    </x:row>
    <x:row r="20" ht="30" hidden="0" customHeight="1">
      <x:c r="A20" s="9" t="s">
        <x:v>178</x:v>
      </x:c>
      <x:c r="B20" s="9" t="s">
        <x:v>179</x:v>
      </x:c>
      <x:c r="C20" s="9" t="s">
        <x:v>180</x:v>
      </x:c>
      <x:c r="D20" s="9" t="n">
        <x:v>2025</x:v>
      </x:c>
      <x:c r="E20" s="9" t="s">
        <x:v>181</x:v>
      </x:c>
      <x:c r="F20" s="9" t="s">
        <x:v>156</x:v>
      </x:c>
      <x:c r="G20" s="9" t="s">
        <x:v>182</x:v>
      </x:c>
      <x:c r="H20" s="9" t="s">
        <x:v>183</x:v>
      </x:c>
      <x:c r="I20" s="13" t="str">
        <x:v>Yes</x:v>
      </x:c>
      <x:c r="J20" s="13" t="str">
        <x:v>Yes</x:v>
      </x:c>
      <x:c r="K20" s="13" t="str">
        <x:v>Yes</x:v>
      </x:c>
      <x:c r="L20" s="13" t="str">
        <x:v>Yes</x:v>
      </x:c>
      <x:c r="M20" s="13" t="str">
        <x:v>Yes</x:v>
      </x:c>
      <x:c r="N20" s="13" t="str">
        <x:v>Yes</x:v>
      </x:c>
      <x:c r="O20" s="13" t="n">
        <x:v>4</x:v>
      </x:c>
      <x:c r="P20" s="14" t="str">
        <x:v>Include — Meets all six criteria. Full review centered on reward design for RL-based HVAC control and the energy–thermal-comfort trade-off.</x:v>
      </x:c>
    </x:row>
    <x:row r="21" ht="30" hidden="0" customHeight="1">
      <x:c r="A21" s="15" t="s">
        <x:v>184</x:v>
      </x:c>
      <x:c r="B21" s="15" t="s">
        <x:v>185</x:v>
      </x:c>
      <x:c r="C21" s="15" t="s">
        <x:v>186</x:v>
      </x:c>
      <x:c r="D21" s="15" t="n">
        <x:v>2026</x:v>
      </x:c>
      <x:c r="E21" s="15" t="s">
        <x:v>187</x:v>
      </x:c>
      <x:c r="F21" s="15" t="s">
        <x:v>69</x:v>
      </x:c>
      <x:c r="G21" s="15" t="s">
        <x:v>188</x:v>
      </x:c>
      <x:c r="H21" s="15" t="s">
        <x:v>189</x:v>
      </x:c>
      <x:c r="I21" s="13" t="str">
        <x:v>Yes</x:v>
      </x:c>
      <x:c r="J21" s="13" t="str">
        <x:v>Yes</x:v>
      </x:c>
      <x:c r="K21" s="13" t="str">
        <x:v>Yes</x:v>
      </x:c>
      <x:c r="L21" s="13" t="str">
        <x:v>Yes</x:v>
      </x:c>
      <x:c r="M21" s="13" t="str">
        <x:v>Yes</x:v>
      </x:c>
      <x:c r="N21" s="13" t="str">
        <x:v>Yes</x:v>
      </x:c>
      <x:c r="O21" s="13" t="n">
        <x:v>3</x:v>
      </x:c>
      <x:c r="P21" s="14" t="str">
        <x:v>Include — Borderline C3/C4 because the scope is building multi-energy resilience. Buildings remain explicit controlled systems, and Section 4 plus Tables 6–7 provide a separable synthesis of DRL strategies, actions and resilience outcomes for BMES.</x:v>
      </x:c>
    </x:row>
    <x:row r="22" ht="30" hidden="0" customHeight="1">
      <x:c r="A22" s="9" t="s">
        <x:v>190</x:v>
      </x:c>
      <x:c r="B22" s="9" t="s">
        <x:v>191</x:v>
      </x:c>
      <x:c r="C22" s="9" t="s">
        <x:v>192</x:v>
      </x:c>
      <x:c r="D22" s="9" t="n">
        <x:v>2026</x:v>
      </x:c>
      <x:c r="E22" s="9" t="s">
        <x:v>193</x:v>
      </x:c>
      <x:c r="F22" s="9" t="s">
        <x:v>194</x:v>
      </x:c>
      <x:c r="G22" s="9" t="s">
        <x:v>195</x:v>
      </x:c>
      <x:c r="H22" s="9" t="s">
        <x:v>196</x:v>
      </x:c>
      <x:c r="I22" s="13" t="str">
        <x:v>Yes</x:v>
      </x:c>
      <x:c r="J22" s="13" t="str">
        <x:v>Unclear</x:v>
      </x:c>
      <x:c r="K22" s="13" t="str">
        <x:v>Yes</x:v>
      </x:c>
      <x:c r="L22" s="13" t="str">
        <x:v>Yes</x:v>
      </x:c>
      <x:c r="M22" s="13" t="str">
        <x:v>Yes</x:v>
      </x:c>
      <x:c r="N22" s="13" t="str">
        <x:v>Yes</x:v>
      </x:c>
      <x:c r="O22" s="13" t="n">
        <x:v>2</x:v>
      </x:c>
      <x:c r="P22" s="14" t="str">
        <x:v>Questionable inclusion — C2 is borderline. The scope also covers IoT, forecasting, federated learning and non-RL optimization, but Section 3, Section 4 and Tables 1–3 make IoT–DRL integration and DRL-based smart-building energy management a substantial organizing strand; HVAC, lighting, storage and renewable-allocation actions satisfy C3–C5.</x:v>
      </x:c>
    </x:row>
    <x:row r="23" ht="30" hidden="0" customHeight="1">
      <x:c r="A23" s="15" t="s">
        <x:v>197</x:v>
      </x:c>
      <x:c r="B23" s="15" t="s">
        <x:v>198</x:v>
      </x:c>
      <x:c r="C23" s="15" t="s">
        <x:v>199</x:v>
      </x:c>
      <x:c r="D23" s="15" t="n">
        <x:v>2026</x:v>
      </x:c>
      <x:c r="E23" s="15" t="s">
        <x:v>200</x:v>
      </x:c>
      <x:c r="F23" s="15" t="s">
        <x:v>69</x:v>
      </x:c>
      <x:c r="G23" s="15" t="s">
        <x:v>201</x:v>
      </x:c>
      <x:c r="H23" s="15" t="s">
        <x:v>202</x:v>
      </x:c>
      <x:c r="I23" s="13" t="str">
        <x:v>Yes</x:v>
      </x:c>
      <x:c r="J23" s="13" t="str">
        <x:v>Yes</x:v>
      </x:c>
      <x:c r="K23" s="13" t="str">
        <x:v>Yes</x:v>
      </x:c>
      <x:c r="L23" s="13" t="str">
        <x:v>Yes</x:v>
      </x:c>
      <x:c r="M23" s="13" t="str">
        <x:v>Yes</x:v>
      </x:c>
      <x:c r="N23" s="13" t="str">
        <x:v>Yes</x:v>
      </x:c>
      <x:c r="O23" s="13" t="n">
        <x:v>4</x:v>
      </x:c>
      <x:c r="P23" s="14" t="str">
        <x:v>Include — Meets all six criteria. Full journal review centered on hybrid RL for occupant-centric operational building control, jointly addressing energy, comfort and indoor-air-quality actions.</x:v>
      </x:c>
    </x:row>
    <x:row r="25" ht="15" hidden="0" customHeight="1">
      <x:c r="A25" s="16" t="s">
        <x:v>203</x:v>
      </x:c>
      <x:c r="B25" s="16"/>
      <x:c r="C25" s="16"/>
      <x:c r="D25" s="16"/>
      <x:c r="E25" s="16"/>
      <x:c r="F25" s="16"/>
      <x:c r="G25" s="16"/>
      <x:c r="H25" s="16"/>
      <x:c r="I25" s="16"/>
      <x:c r="J25" s="16"/>
      <x:c r="K25" s="16"/>
      <x:c r="L25" s="16"/>
      <x:c r="M25" s="16"/>
      <x:c r="N25" s="16"/>
      <x:c r="O25" s="16"/>
      <x:c r="P25" s="16"/>
    </x:row>
    <x:row r="26" ht="15" hidden="0" customHeight="1">
      <x:c r="A26" s="17" t="s">
        <x:v>204</x:v>
      </x:c>
      <x:c r="B26" s="17"/>
      <x:c r="C26" s="17"/>
      <x:c r="D26" s="17"/>
      <x:c r="E26" s="17"/>
      <x:c r="F26" s="17"/>
      <x:c r="G26" s="17"/>
      <x:c r="H26" s="17"/>
      <x:c r="I26" s="17"/>
      <x:c r="J26" s="17"/>
      <x:c r="K26" s="17"/>
      <x:c r="L26" s="17"/>
      <x:c r="M26" s="17"/>
      <x:c r="N26" s="17"/>
      <x:c r="O26" s="17"/>
      <x:c r="P26" s="17"/>
    </x:row>
    <x:row r="27" ht="42" hidden="0" customHeight="1">
      <x:c r="A27" s="18" t="s">
        <x:v>205</x:v>
      </x:c>
      <x:c r="B27" s="18" t="s">
        <x:v>206</x:v>
      </x:c>
      <x:c r="C27" s="18" t="s">
        <x:v>207</x:v>
      </x:c>
      <x:c r="D27" s="18" t="n">
        <x:v>2024</x:v>
      </x:c>
      <x:c r="E27" s="19" t="s">
        <x:v>208</x:v>
      </x:c>
      <x:c r="F27" s="18" t="s">
        <x:v>97</x:v>
      </x:c>
      <x:c r="G27" s="18" t="s">
        <x:v>209</x:v>
      </x:c>
      <x:c r="H27" s="18" t="s">
        <x:v>210</x:v>
      </x:c>
      <x:c r="I27" s="18" t="s">
        <x:v>211</x:v>
      </x:c>
      <x:c r="J27" s="18" t="s">
        <x:v>211</x:v>
      </x:c>
      <x:c r="K27" s="18" t="s">
        <x:v>211</x:v>
      </x:c>
      <x:c r="L27" s="18" t="s">
        <x:v>211</x:v>
      </x:c>
      <x:c r="M27" s="18" t="s">
        <x:v>211</x:v>
      </x:c>
      <x:c r="N27" s="18" t="s">
        <x:v>211</x:v>
      </x:c>
      <x:c r="O27" s="18" t="n">
        <x:v>3</x:v>
      </x:c>
      <x:c r="P27" s="19" t="s">
        <x:v>212</x:v>
      </x:c>
    </x:row>
  </x:sheetData>
  <x:mergeCells>
    <x:mergeCell ref="A25:P25"/>
    <x:mergeCell ref="A26:P26"/>
  </x:mergeCells>
  <x:dataValidations count="2">
    <x:dataValidation type="list" errorStyle="stop" operator="between" allowBlank="1" showDropDown="0" showInputMessage="0" showErrorMessage="0" sqref="I2:N23">
      <x:formula1>"Yes,No,Unclear"</x:formula1>
      <x:formula2>0</x:formula2>
    </x:dataValidation>
    <x:dataValidation type="list" errorStyle="stop" operator="between" allowBlank="1" showDropDown="0" showInputMessage="0" showErrorMessage="0" sqref="O2:O23">
      <x:formula1>"4,3,2,1"</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46" style="1" hidden="0" customWidth="1"/>
    <x:col min="2" max="2" width="14" style="1" hidden="0" customWidth="1"/>
    <x:col min="3" max="3" width="52" style="1" hidden="0" customWidth="1"/>
  </x:cols>
  <x:sheetData>
    <x:row r="1" ht="17.25" hidden="0" customHeight="1">
      <x:c r="A1" s="5" t="s">
        <x:v>213</x:v>
      </x:c>
    </x:row>
    <x:row r="2" ht="15" hidden="0" customHeight="1">
      <x:c r="A2" s="6" t="s">
        <x:v>214</x:v>
      </x:c>
    </x:row>
    <x:row r="4" ht="15" hidden="0" customHeight="1">
      <x:c r="A4" s="7" t="s">
        <x:v>215</x:v>
      </x:c>
      <x:c r="B4" s="7" t="s">
        <x:v>216</x:v>
      </x:c>
      <x:c r="C4" s="7" t="s">
        <x:v>40</x:v>
      </x:c>
    </x:row>
    <x:row r="5" ht="15" hidden="0" customHeight="1">
      <x:c r="A5" s="9" t="s">
        <x:v>217</x:v>
      </x:c>
      <x:c r="B5" s="20" t="n">
        <x:f aca="0">COUNTA('22 Reviews'!O2:O23)</x:f>
        <x:v>22</x:v>
      </x:c>
      <x:c r="C5" s="9" t="s">
        <x:v>218</x:v>
      </x:c>
    </x:row>
    <x:row r="6" ht="15" hidden="0" customHeight="1">
      <x:c r="A6" s="9" t="s">
        <x:v>219</x:v>
      </x:c>
      <x:c r="B6" s="20" t="n">
        <x:f aca="0">COUNTIF('22 Reviews'!O2:O23,4)</x:f>
        <x:v>14</x:v>
      </x:c>
      <x:c r="C6" s="9"/>
    </x:row>
    <x:row r="7" ht="15" hidden="0" customHeight="1">
      <x:c r="A7" s="9" t="s">
        <x:v>220</x:v>
      </x:c>
      <x:c r="B7" s="20" t="n">
        <x:f aca="0">COUNTIF('22 Reviews'!O2:O23,3)</x:f>
        <x:v>7</x:v>
      </x:c>
      <x:c r="C7" s="9"/>
    </x:row>
    <x:row r="8" ht="15" hidden="0" customHeight="1">
      <x:c r="A8" s="9" t="s">
        <x:v>221</x:v>
      </x:c>
      <x:c r="B8" s="20" t="n">
        <x:f aca="0">COUNTIF('22 Reviews'!O2:O23,2)</x:f>
        <x:v>1</x:v>
      </x:c>
      <x:c r="C8" s="9"/>
    </x:row>
    <x:row r="9" ht="15" hidden="0" customHeight="1">
      <x:c r="A9" s="9" t="s">
        <x:v>222</x:v>
      </x:c>
      <x:c r="B9" s="20" t="n">
        <x:f aca="0">COUNTIF('22 Reviews'!O2:O23,1)</x:f>
        <x:v>0</x:v>
      </x:c>
      <x:c r="C9" s="9"/>
    </x:row>
    <x:row r="10" ht="15" hidden="0" customHeight="1">
      <x:c r="A10" s="9" t="s">
        <x:v>223</x:v>
      </x:c>
      <x:c r="B10" s="20" t="n">
        <x:f aca="0">COUNTIF('22 Reviews'!O2:O23,4)+COUNTIF('22 Reviews'!O2:O23,3)</x:f>
        <x:v>21</x:v>
      </x:c>
      <x:c r="C10" s="9" t="s">
        <x:v>224</x:v>
      </x:c>
    </x:row>
    <x:row r="11" ht="15" hidden="0" customHeight="1">
      <x:c r="A11" s="9" t="s">
        <x:v>225</x:v>
      </x:c>
      <x:c r="B11" s="21" t="n">
        <x:f aca="0">IFERROR((COUNTIF('22 Reviews'!O2:O23,4)+COUNTIF('22 Reviews'!O2:O23,3))/COUNTA('22 Reviews'!O2:O23),"")</x:f>
        <x:v>0.9545454545454546</x:v>
      </x:c>
      <x:c r="C11" s="9"/>
    </x:row>
    <x:row r="12" ht="15" hidden="0" customHeight="1">
      <x:c r="A12" s="9" t="s">
        <x:v>226</x:v>
      </x:c>
      <x:c r="B12" s="22" t="n">
        <x:f aca="0">IFERROR(AVERAGE('22 Reviews'!O2:O23),"")</x:f>
        <x:v>3.590909090909091</x:v>
      </x:c>
      <x:c r="C12" s="9" t="s">
        <x:v>227</x:v>
      </x:c>
    </x:row>
    <x:row r="13" ht="15" hidden="0" customHeight="1">
      <x:c r="A13" s="9"/>
      <x:c r="B13" s="20"/>
      <x:c r="C13" s="9"/>
    </x:row>
    <x:row r="14" ht="15" hidden="0" customHeight="1">
      <x:c r="A14" s="23" t="s">
        <x:v>228</x:v>
      </x:c>
      <x:c r="B14" s="20"/>
      <x:c r="C14" s="9"/>
    </x:row>
    <x:row r="15" ht="15" hidden="0" customHeight="1">
      <x:c r="A15" s="9" t="s">
        <x:v>50</x:v>
      </x:c>
      <x:c r="B15" s="20" t="n">
        <x:f aca="0">COUNTIF('22 Reviews'!I2:I23,"No")+COUNTIF('22 Reviews'!I2:I23,"Unclear")</x:f>
        <x:v>0</x:v>
      </x:c>
      <x:c r="C15" s="9"/>
    </x:row>
    <x:row r="16" ht="15" hidden="0" customHeight="1">
      <x:c r="A16" s="9" t="s">
        <x:v>51</x:v>
      </x:c>
      <x:c r="B16" s="20" t="n">
        <x:f aca="0">COUNTIF('22 Reviews'!J2:J23,"No")+COUNTIF('22 Reviews'!J2:J23,"Unclear")</x:f>
        <x:v>1</x:v>
      </x:c>
      <x:c r="C16" s="9"/>
    </x:row>
    <x:row r="17" ht="15" hidden="0" customHeight="1">
      <x:c r="A17" s="9" t="s">
        <x:v>52</x:v>
      </x:c>
      <x:c r="B17" s="20" t="n">
        <x:f aca="0">COUNTIF('22 Reviews'!K2:K23,"No")+COUNTIF('22 Reviews'!K2:K23,"Unclear")</x:f>
        <x:v>0</x:v>
      </x:c>
      <x:c r="C17" s="9"/>
    </x:row>
    <x:row r="18" ht="15" hidden="0" customHeight="1">
      <x:c r="A18" s="9" t="s">
        <x:v>53</x:v>
      </x:c>
      <x:c r="B18" s="20" t="n">
        <x:f aca="0">COUNTIF('22 Reviews'!L2:L23,"No")+COUNTIF('22 Reviews'!L2:L23,"Unclear")</x:f>
        <x:v>0</x:v>
      </x:c>
      <x:c r="C18" s="9"/>
    </x:row>
    <x:row r="19" ht="15" hidden="0" customHeight="1">
      <x:c r="A19" s="9" t="s">
        <x:v>54</x:v>
      </x:c>
      <x:c r="B19" s="20" t="n">
        <x:f aca="0">COUNTIF('22 Reviews'!M2:M23,"No")+COUNTIF('22 Reviews'!M2:M23,"Unclear")</x:f>
        <x:v>0</x:v>
      </x:c>
      <x:c r="C19" s="9"/>
    </x:row>
    <x:row r="20" ht="15" hidden="0" customHeight="1">
      <x:c r="A20" s="9" t="s">
        <x:v>55</x:v>
      </x:c>
      <x:c r="B20" s="20" t="n">
        <x:f aca="0">COUNTIF('22 Reviews'!N2:N23,"No")+COUNTIF('22 Reviews'!N2:N23,"Unclear")</x:f>
        <x:v>0</x:v>
      </x:c>
      <x:c r="C20" s="9"/>
    </x:row>
  </x:sheetData>
  <x:pageMargins left="0.7" right="0.7" top="0.75" bottom="0.75" header="0.3" footer="0.3"/>
</x:worksheet>
</file>